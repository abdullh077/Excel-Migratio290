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-com\Desktop\"/>
    </mc:Choice>
  </mc:AlternateContent>
  <xr:revisionPtr revIDLastSave="0" documentId="13_ncr:1_{23DE857E-9F97-4366-AFE3-F0435472828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420" tabRatio="596" activeTab="1" xr2:uid="{654EA081-CF90-442D-A7D3-B9C2DBD9ED24}"/>
  </bookViews>
  <sheets>
    <sheet name="الرئيسية" sheetId="5" r:id="rId1"/>
    <sheet name="المعتمرون" sheetId="1" r:id="rId2"/>
    <sheet name="التاشيرات الاخرى" sheetId="2" r:id="rId3"/>
    <sheet name="مؤشرات الأداء" sheetId="8" r:id="rId4"/>
    <sheet name="الأرشيف" sheetId="3" r:id="rId5"/>
    <sheet name="اشعار المكتب" sheetId="9" r:id="rId6"/>
    <sheet name="Activation" sheetId="10" r:id="rId7"/>
  </sheets>
  <functionGroups builtInGroupCount="19"/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13" i="2" l="1"/>
  <c r="M12" i="2"/>
  <c r="G15" i="1"/>
  <c r="M15" i="1" s="1"/>
  <c r="A211" i="1"/>
  <c r="G211" i="1"/>
  <c r="M211" i="1" s="1"/>
  <c r="K211" i="1"/>
  <c r="A210" i="1"/>
  <c r="G210" i="1"/>
  <c r="M210" i="1" s="1"/>
  <c r="K210" i="1"/>
  <c r="A209" i="1"/>
  <c r="G209" i="1"/>
  <c r="M209" i="1" s="1"/>
  <c r="K209" i="1"/>
  <c r="A208" i="1"/>
  <c r="G208" i="1"/>
  <c r="M208" i="1" s="1"/>
  <c r="K208" i="1"/>
  <c r="A207" i="1"/>
  <c r="G207" i="1"/>
  <c r="M207" i="1" s="1"/>
  <c r="K207" i="1"/>
  <c r="A206" i="1"/>
  <c r="G206" i="1"/>
  <c r="M206" i="1" s="1"/>
  <c r="K206" i="1"/>
  <c r="A205" i="1"/>
  <c r="G205" i="1"/>
  <c r="M205" i="1" s="1"/>
  <c r="K205" i="1"/>
  <c r="A204" i="1"/>
  <c r="G204" i="1"/>
  <c r="M204" i="1" s="1"/>
  <c r="K204" i="1"/>
  <c r="A203" i="1"/>
  <c r="G203" i="1"/>
  <c r="M203" i="1" s="1"/>
  <c r="K203" i="1"/>
  <c r="A202" i="1"/>
  <c r="G202" i="1"/>
  <c r="M202" i="1" s="1"/>
  <c r="K202" i="1"/>
  <c r="A201" i="1"/>
  <c r="G201" i="1"/>
  <c r="M201" i="1" s="1"/>
  <c r="K201" i="1"/>
  <c r="A200" i="1"/>
  <c r="G200" i="1"/>
  <c r="M200" i="1" s="1"/>
  <c r="K200" i="1"/>
  <c r="A199" i="1"/>
  <c r="G199" i="1"/>
  <c r="M199" i="1" s="1"/>
  <c r="K199" i="1"/>
  <c r="A198" i="1"/>
  <c r="G198" i="1"/>
  <c r="M198" i="1" s="1"/>
  <c r="K198" i="1"/>
  <c r="A197" i="1"/>
  <c r="G197" i="1"/>
  <c r="M197" i="1" s="1"/>
  <c r="K197" i="1"/>
  <c r="A196" i="1"/>
  <c r="G196" i="1"/>
  <c r="M196" i="1" s="1"/>
  <c r="K196" i="1"/>
  <c r="A195" i="1"/>
  <c r="G195" i="1"/>
  <c r="M195" i="1" s="1"/>
  <c r="K195" i="1"/>
  <c r="A194" i="1"/>
  <c r="G194" i="1"/>
  <c r="M194" i="1" s="1"/>
  <c r="K194" i="1"/>
  <c r="A193" i="1"/>
  <c r="G193" i="1"/>
  <c r="M193" i="1" s="1"/>
  <c r="K193" i="1"/>
  <c r="A192" i="1"/>
  <c r="G192" i="1"/>
  <c r="M192" i="1" s="1"/>
  <c r="K192" i="1"/>
  <c r="A191" i="1"/>
  <c r="G191" i="1"/>
  <c r="M191" i="1" s="1"/>
  <c r="K191" i="1"/>
  <c r="A190" i="1"/>
  <c r="G190" i="1"/>
  <c r="M190" i="1" s="1"/>
  <c r="K190" i="1"/>
  <c r="A189" i="1"/>
  <c r="G189" i="1"/>
  <c r="M189" i="1" s="1"/>
  <c r="K189" i="1"/>
  <c r="A188" i="1"/>
  <c r="G188" i="1"/>
  <c r="M188" i="1" s="1"/>
  <c r="K188" i="1"/>
  <c r="A187" i="1"/>
  <c r="G187" i="1"/>
  <c r="M187" i="1" s="1"/>
  <c r="K187" i="1"/>
  <c r="A186" i="1"/>
  <c r="G186" i="1"/>
  <c r="M186" i="1" s="1"/>
  <c r="K186" i="1"/>
  <c r="A185" i="1"/>
  <c r="G185" i="1"/>
  <c r="M185" i="1" s="1"/>
  <c r="K185" i="1"/>
  <c r="A184" i="1"/>
  <c r="G184" i="1"/>
  <c r="M184" i="1" s="1"/>
  <c r="K184" i="1"/>
  <c r="A183" i="1"/>
  <c r="G183" i="1"/>
  <c r="M183" i="1" s="1"/>
  <c r="K183" i="1"/>
  <c r="A182" i="1"/>
  <c r="G182" i="1"/>
  <c r="M182" i="1" s="1"/>
  <c r="K182" i="1"/>
  <c r="A181" i="1"/>
  <c r="G181" i="1"/>
  <c r="M181" i="1" s="1"/>
  <c r="K181" i="1"/>
  <c r="A180" i="1"/>
  <c r="G180" i="1"/>
  <c r="M180" i="1" s="1"/>
  <c r="K180" i="1"/>
  <c r="A179" i="1"/>
  <c r="G179" i="1"/>
  <c r="M179" i="1" s="1"/>
  <c r="K179" i="1"/>
  <c r="A178" i="1"/>
  <c r="G178" i="1"/>
  <c r="M178" i="1" s="1"/>
  <c r="K178" i="1"/>
  <c r="A177" i="1"/>
  <c r="G177" i="1"/>
  <c r="M177" i="1" s="1"/>
  <c r="K177" i="1"/>
  <c r="A176" i="1"/>
  <c r="G176" i="1"/>
  <c r="M176" i="1" s="1"/>
  <c r="K176" i="1"/>
  <c r="A175" i="1"/>
  <c r="G175" i="1"/>
  <c r="M175" i="1" s="1"/>
  <c r="K175" i="1"/>
  <c r="A174" i="1"/>
  <c r="G174" i="1"/>
  <c r="M174" i="1" s="1"/>
  <c r="K174" i="1"/>
  <c r="A173" i="1"/>
  <c r="G173" i="1"/>
  <c r="M173" i="1" s="1"/>
  <c r="K173" i="1"/>
  <c r="A172" i="1"/>
  <c r="G172" i="1"/>
  <c r="M172" i="1" s="1"/>
  <c r="K172" i="1"/>
  <c r="A171" i="1"/>
  <c r="G171" i="1"/>
  <c r="M171" i="1" s="1"/>
  <c r="K171" i="1"/>
  <c r="A170" i="1"/>
  <c r="G170" i="1"/>
  <c r="M170" i="1" s="1"/>
  <c r="K170" i="1"/>
  <c r="A169" i="1"/>
  <c r="G169" i="1"/>
  <c r="M169" i="1" s="1"/>
  <c r="K169" i="1"/>
  <c r="A168" i="1"/>
  <c r="G168" i="1"/>
  <c r="M168" i="1" s="1"/>
  <c r="K168" i="1"/>
  <c r="A167" i="1"/>
  <c r="G167" i="1"/>
  <c r="M167" i="1" s="1"/>
  <c r="K167" i="1"/>
  <c r="A166" i="1"/>
  <c r="G166" i="1"/>
  <c r="M166" i="1" s="1"/>
  <c r="K166" i="1"/>
  <c r="A165" i="1"/>
  <c r="G165" i="1"/>
  <c r="M165" i="1" s="1"/>
  <c r="K165" i="1"/>
  <c r="A164" i="1"/>
  <c r="G164" i="1"/>
  <c r="M164" i="1" s="1"/>
  <c r="K164" i="1"/>
  <c r="A163" i="1"/>
  <c r="G163" i="1"/>
  <c r="M163" i="1" s="1"/>
  <c r="K163" i="1"/>
  <c r="A162" i="1"/>
  <c r="G162" i="1"/>
  <c r="M162" i="1" s="1"/>
  <c r="K162" i="1"/>
  <c r="A161" i="1"/>
  <c r="G161" i="1"/>
  <c r="M161" i="1" s="1"/>
  <c r="K161" i="1"/>
  <c r="A160" i="1"/>
  <c r="G160" i="1"/>
  <c r="M160" i="1" s="1"/>
  <c r="K160" i="1"/>
  <c r="A159" i="1"/>
  <c r="G159" i="1"/>
  <c r="M159" i="1" s="1"/>
  <c r="K159" i="1"/>
  <c r="A158" i="1"/>
  <c r="G158" i="1"/>
  <c r="M158" i="1" s="1"/>
  <c r="K158" i="1"/>
  <c r="A157" i="1"/>
  <c r="G157" i="1"/>
  <c r="M157" i="1" s="1"/>
  <c r="K157" i="1"/>
  <c r="A156" i="1"/>
  <c r="G156" i="1"/>
  <c r="M156" i="1" s="1"/>
  <c r="K156" i="1"/>
  <c r="A155" i="1"/>
  <c r="G155" i="1"/>
  <c r="M155" i="1" s="1"/>
  <c r="K155" i="1"/>
  <c r="A154" i="1"/>
  <c r="G154" i="1"/>
  <c r="M154" i="1" s="1"/>
  <c r="K154" i="1"/>
  <c r="A153" i="1"/>
  <c r="G153" i="1"/>
  <c r="M153" i="1" s="1"/>
  <c r="K153" i="1"/>
  <c r="A152" i="1"/>
  <c r="G152" i="1"/>
  <c r="M152" i="1" s="1"/>
  <c r="K152" i="1"/>
  <c r="A151" i="1"/>
  <c r="G151" i="1"/>
  <c r="M151" i="1" s="1"/>
  <c r="K151" i="1"/>
  <c r="A150" i="1"/>
  <c r="G150" i="1"/>
  <c r="M150" i="1" s="1"/>
  <c r="K150" i="1"/>
  <c r="A149" i="1"/>
  <c r="G149" i="1"/>
  <c r="M149" i="1" s="1"/>
  <c r="K149" i="1"/>
  <c r="A148" i="1"/>
  <c r="G148" i="1"/>
  <c r="M148" i="1" s="1"/>
  <c r="K148" i="1"/>
  <c r="A147" i="1"/>
  <c r="G147" i="1"/>
  <c r="M147" i="1" s="1"/>
  <c r="K147" i="1"/>
  <c r="A146" i="1"/>
  <c r="G146" i="1"/>
  <c r="M146" i="1" s="1"/>
  <c r="K146" i="1"/>
  <c r="A145" i="1"/>
  <c r="G145" i="1"/>
  <c r="M145" i="1" s="1"/>
  <c r="K145" i="1"/>
  <c r="A144" i="1"/>
  <c r="G144" i="1"/>
  <c r="M144" i="1" s="1"/>
  <c r="K144" i="1"/>
  <c r="A143" i="1"/>
  <c r="G143" i="1"/>
  <c r="M143" i="1" s="1"/>
  <c r="K143" i="1"/>
  <c r="A142" i="1"/>
  <c r="G142" i="1"/>
  <c r="M142" i="1" s="1"/>
  <c r="K142" i="1"/>
  <c r="A141" i="1"/>
  <c r="G141" i="1"/>
  <c r="M141" i="1" s="1"/>
  <c r="K141" i="1"/>
  <c r="A140" i="1"/>
  <c r="G140" i="1"/>
  <c r="M140" i="1" s="1"/>
  <c r="K140" i="1"/>
  <c r="A139" i="1"/>
  <c r="G139" i="1"/>
  <c r="M139" i="1" s="1"/>
  <c r="K139" i="1"/>
  <c r="A138" i="1"/>
  <c r="G138" i="1"/>
  <c r="M138" i="1" s="1"/>
  <c r="K138" i="1"/>
  <c r="A137" i="1"/>
  <c r="G137" i="1"/>
  <c r="M137" i="1" s="1"/>
  <c r="K137" i="1"/>
  <c r="A136" i="1"/>
  <c r="G136" i="1"/>
  <c r="M136" i="1" s="1"/>
  <c r="K136" i="1"/>
  <c r="A135" i="1"/>
  <c r="G135" i="1"/>
  <c r="M135" i="1" s="1"/>
  <c r="K135" i="1"/>
  <c r="A134" i="1"/>
  <c r="G134" i="1"/>
  <c r="M134" i="1" s="1"/>
  <c r="K134" i="1"/>
  <c r="A133" i="1"/>
  <c r="G133" i="1"/>
  <c r="M133" i="1" s="1"/>
  <c r="K133" i="1"/>
  <c r="A132" i="1"/>
  <c r="G132" i="1"/>
  <c r="M132" i="1" s="1"/>
  <c r="K132" i="1"/>
  <c r="A131" i="1"/>
  <c r="G131" i="1"/>
  <c r="M131" i="1" s="1"/>
  <c r="K131" i="1"/>
  <c r="A130" i="1"/>
  <c r="G130" i="1"/>
  <c r="M130" i="1" s="1"/>
  <c r="K130" i="1"/>
  <c r="A129" i="1"/>
  <c r="G129" i="1"/>
  <c r="M129" i="1" s="1"/>
  <c r="K129" i="1"/>
  <c r="A128" i="1"/>
  <c r="G128" i="1"/>
  <c r="M128" i="1" s="1"/>
  <c r="K128" i="1"/>
  <c r="A127" i="1"/>
  <c r="G127" i="1"/>
  <c r="M127" i="1" s="1"/>
  <c r="K127" i="1"/>
  <c r="A126" i="1"/>
  <c r="G126" i="1"/>
  <c r="M126" i="1" s="1"/>
  <c r="K126" i="1"/>
  <c r="A125" i="1"/>
  <c r="G125" i="1"/>
  <c r="M125" i="1" s="1"/>
  <c r="K125" i="1"/>
  <c r="A124" i="1"/>
  <c r="G124" i="1"/>
  <c r="M124" i="1" s="1"/>
  <c r="K124" i="1"/>
  <c r="A123" i="1"/>
  <c r="G123" i="1"/>
  <c r="M123" i="1" s="1"/>
  <c r="K123" i="1"/>
  <c r="A122" i="1"/>
  <c r="G122" i="1"/>
  <c r="M122" i="1" s="1"/>
  <c r="K122" i="1"/>
  <c r="A121" i="1"/>
  <c r="G121" i="1"/>
  <c r="M121" i="1" s="1"/>
  <c r="K121" i="1"/>
  <c r="A120" i="1"/>
  <c r="G120" i="1"/>
  <c r="M120" i="1" s="1"/>
  <c r="K120" i="1"/>
  <c r="A119" i="1"/>
  <c r="G119" i="1"/>
  <c r="M119" i="1" s="1"/>
  <c r="K119" i="1"/>
  <c r="A118" i="1"/>
  <c r="G118" i="1"/>
  <c r="M118" i="1" s="1"/>
  <c r="K118" i="1"/>
  <c r="A117" i="1"/>
  <c r="G117" i="1"/>
  <c r="M117" i="1" s="1"/>
  <c r="K117" i="1"/>
  <c r="A116" i="1"/>
  <c r="G116" i="1"/>
  <c r="M116" i="1" s="1"/>
  <c r="K116" i="1"/>
  <c r="A115" i="1"/>
  <c r="G115" i="1"/>
  <c r="M115" i="1" s="1"/>
  <c r="K115" i="1"/>
  <c r="A114" i="1"/>
  <c r="G114" i="1"/>
  <c r="M114" i="1" s="1"/>
  <c r="K114" i="1"/>
  <c r="A113" i="1"/>
  <c r="G113" i="1"/>
  <c r="M113" i="1" s="1"/>
  <c r="K113" i="1"/>
  <c r="A112" i="1"/>
  <c r="G112" i="1"/>
  <c r="M112" i="1" s="1"/>
  <c r="K112" i="1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M312" i="2"/>
  <c r="O312" i="2"/>
  <c r="P312" i="2"/>
  <c r="M311" i="2"/>
  <c r="O311" i="2"/>
  <c r="P311" i="2"/>
  <c r="M310" i="2"/>
  <c r="O310" i="2"/>
  <c r="P310" i="2"/>
  <c r="M309" i="2"/>
  <c r="O309" i="2"/>
  <c r="P309" i="2"/>
  <c r="M308" i="2"/>
  <c r="O308" i="2"/>
  <c r="P308" i="2"/>
  <c r="M307" i="2"/>
  <c r="O307" i="2"/>
  <c r="P307" i="2"/>
  <c r="M306" i="2"/>
  <c r="O306" i="2"/>
  <c r="P306" i="2"/>
  <c r="M305" i="2"/>
  <c r="O305" i="2"/>
  <c r="P305" i="2"/>
  <c r="M304" i="2"/>
  <c r="O304" i="2"/>
  <c r="P304" i="2"/>
  <c r="M303" i="2"/>
  <c r="O303" i="2"/>
  <c r="P303" i="2"/>
  <c r="M302" i="2"/>
  <c r="O302" i="2"/>
  <c r="P302" i="2"/>
  <c r="M301" i="2"/>
  <c r="O301" i="2"/>
  <c r="P301" i="2"/>
  <c r="M300" i="2"/>
  <c r="O300" i="2"/>
  <c r="P300" i="2"/>
  <c r="M299" i="2"/>
  <c r="O299" i="2"/>
  <c r="P299" i="2"/>
  <c r="M298" i="2"/>
  <c r="O298" i="2"/>
  <c r="P298" i="2"/>
  <c r="M297" i="2"/>
  <c r="O297" i="2"/>
  <c r="P297" i="2"/>
  <c r="M296" i="2"/>
  <c r="O296" i="2"/>
  <c r="P296" i="2"/>
  <c r="M295" i="2"/>
  <c r="O295" i="2"/>
  <c r="P295" i="2"/>
  <c r="M294" i="2"/>
  <c r="O294" i="2"/>
  <c r="P294" i="2"/>
  <c r="M293" i="2"/>
  <c r="O293" i="2"/>
  <c r="P293" i="2"/>
  <c r="M292" i="2"/>
  <c r="O292" i="2"/>
  <c r="P292" i="2"/>
  <c r="M291" i="2"/>
  <c r="O291" i="2"/>
  <c r="P291" i="2"/>
  <c r="M290" i="2"/>
  <c r="O290" i="2"/>
  <c r="P290" i="2"/>
  <c r="M289" i="2"/>
  <c r="O289" i="2"/>
  <c r="P289" i="2"/>
  <c r="M288" i="2"/>
  <c r="O288" i="2"/>
  <c r="P288" i="2"/>
  <c r="M287" i="2"/>
  <c r="O287" i="2"/>
  <c r="P287" i="2"/>
  <c r="M286" i="2"/>
  <c r="O286" i="2"/>
  <c r="P286" i="2"/>
  <c r="M285" i="2"/>
  <c r="O285" i="2"/>
  <c r="P285" i="2"/>
  <c r="M284" i="2"/>
  <c r="O284" i="2"/>
  <c r="P284" i="2"/>
  <c r="M283" i="2"/>
  <c r="O283" i="2"/>
  <c r="P283" i="2"/>
  <c r="M282" i="2"/>
  <c r="O282" i="2"/>
  <c r="P282" i="2"/>
  <c r="M281" i="2"/>
  <c r="O281" i="2"/>
  <c r="P281" i="2"/>
  <c r="M280" i="2"/>
  <c r="O280" i="2"/>
  <c r="P280" i="2"/>
  <c r="M279" i="2"/>
  <c r="O279" i="2"/>
  <c r="P279" i="2"/>
  <c r="M278" i="2"/>
  <c r="O278" i="2"/>
  <c r="P278" i="2"/>
  <c r="M277" i="2"/>
  <c r="O277" i="2"/>
  <c r="P277" i="2"/>
  <c r="M276" i="2"/>
  <c r="O276" i="2"/>
  <c r="P276" i="2"/>
  <c r="M275" i="2"/>
  <c r="O275" i="2"/>
  <c r="P275" i="2"/>
  <c r="M274" i="2"/>
  <c r="O274" i="2"/>
  <c r="P274" i="2"/>
  <c r="M273" i="2"/>
  <c r="O273" i="2"/>
  <c r="P273" i="2"/>
  <c r="M272" i="2"/>
  <c r="O272" i="2"/>
  <c r="P272" i="2"/>
  <c r="M271" i="2"/>
  <c r="O271" i="2"/>
  <c r="P271" i="2"/>
  <c r="M270" i="2"/>
  <c r="O270" i="2"/>
  <c r="P270" i="2"/>
  <c r="M269" i="2"/>
  <c r="O269" i="2"/>
  <c r="P269" i="2"/>
  <c r="M268" i="2"/>
  <c r="O268" i="2"/>
  <c r="P268" i="2"/>
  <c r="M267" i="2"/>
  <c r="O267" i="2"/>
  <c r="P267" i="2"/>
  <c r="M266" i="2"/>
  <c r="O266" i="2"/>
  <c r="P266" i="2"/>
  <c r="M265" i="2"/>
  <c r="O265" i="2"/>
  <c r="P265" i="2"/>
  <c r="M264" i="2"/>
  <c r="O264" i="2"/>
  <c r="P264" i="2"/>
  <c r="M263" i="2"/>
  <c r="O263" i="2"/>
  <c r="P263" i="2"/>
  <c r="M262" i="2"/>
  <c r="O262" i="2"/>
  <c r="P262" i="2"/>
  <c r="M261" i="2"/>
  <c r="O261" i="2"/>
  <c r="P261" i="2"/>
  <c r="M260" i="2"/>
  <c r="O260" i="2"/>
  <c r="P260" i="2"/>
  <c r="M259" i="2"/>
  <c r="O259" i="2"/>
  <c r="P259" i="2"/>
  <c r="M258" i="2"/>
  <c r="O258" i="2"/>
  <c r="P258" i="2"/>
  <c r="M257" i="2"/>
  <c r="O257" i="2"/>
  <c r="P257" i="2"/>
  <c r="M256" i="2"/>
  <c r="O256" i="2"/>
  <c r="P256" i="2"/>
  <c r="M255" i="2"/>
  <c r="O255" i="2"/>
  <c r="P255" i="2"/>
  <c r="M254" i="2"/>
  <c r="O254" i="2"/>
  <c r="P254" i="2"/>
  <c r="M253" i="2"/>
  <c r="O253" i="2"/>
  <c r="P253" i="2"/>
  <c r="M252" i="2"/>
  <c r="O252" i="2"/>
  <c r="P252" i="2"/>
  <c r="M251" i="2"/>
  <c r="O251" i="2"/>
  <c r="P251" i="2"/>
  <c r="M250" i="2"/>
  <c r="O250" i="2"/>
  <c r="P250" i="2"/>
  <c r="M249" i="2"/>
  <c r="O249" i="2"/>
  <c r="P249" i="2"/>
  <c r="M248" i="2"/>
  <c r="O248" i="2"/>
  <c r="P248" i="2"/>
  <c r="M247" i="2"/>
  <c r="O247" i="2"/>
  <c r="P247" i="2"/>
  <c r="M246" i="2"/>
  <c r="O246" i="2"/>
  <c r="P246" i="2"/>
  <c r="M245" i="2"/>
  <c r="O245" i="2"/>
  <c r="P245" i="2"/>
  <c r="M244" i="2"/>
  <c r="O244" i="2"/>
  <c r="P244" i="2"/>
  <c r="M243" i="2"/>
  <c r="O243" i="2"/>
  <c r="P243" i="2"/>
  <c r="M242" i="2"/>
  <c r="O242" i="2"/>
  <c r="P242" i="2"/>
  <c r="M241" i="2"/>
  <c r="O241" i="2"/>
  <c r="P241" i="2"/>
  <c r="M240" i="2"/>
  <c r="O240" i="2"/>
  <c r="P240" i="2"/>
  <c r="M239" i="2"/>
  <c r="O239" i="2"/>
  <c r="P239" i="2"/>
  <c r="M238" i="2"/>
  <c r="O238" i="2"/>
  <c r="P238" i="2"/>
  <c r="M237" i="2"/>
  <c r="O237" i="2"/>
  <c r="P237" i="2"/>
  <c r="M236" i="2"/>
  <c r="O236" i="2"/>
  <c r="P236" i="2"/>
  <c r="M235" i="2"/>
  <c r="O235" i="2"/>
  <c r="P235" i="2"/>
  <c r="M234" i="2"/>
  <c r="O234" i="2"/>
  <c r="P234" i="2"/>
  <c r="M233" i="2"/>
  <c r="O233" i="2"/>
  <c r="P233" i="2"/>
  <c r="M232" i="2"/>
  <c r="O232" i="2"/>
  <c r="P232" i="2"/>
  <c r="M231" i="2"/>
  <c r="O231" i="2"/>
  <c r="P231" i="2"/>
  <c r="M230" i="2"/>
  <c r="O230" i="2"/>
  <c r="P230" i="2"/>
  <c r="M229" i="2"/>
  <c r="O229" i="2"/>
  <c r="P229" i="2"/>
  <c r="M228" i="2"/>
  <c r="O228" i="2"/>
  <c r="P228" i="2"/>
  <c r="M227" i="2"/>
  <c r="O227" i="2"/>
  <c r="P227" i="2"/>
  <c r="M226" i="2"/>
  <c r="O226" i="2"/>
  <c r="P226" i="2"/>
  <c r="M225" i="2"/>
  <c r="O225" i="2"/>
  <c r="P225" i="2"/>
  <c r="M224" i="2"/>
  <c r="O224" i="2"/>
  <c r="P224" i="2"/>
  <c r="M223" i="2"/>
  <c r="O223" i="2"/>
  <c r="P223" i="2"/>
  <c r="M222" i="2"/>
  <c r="O222" i="2"/>
  <c r="P222" i="2"/>
  <c r="M221" i="2"/>
  <c r="O221" i="2"/>
  <c r="P221" i="2"/>
  <c r="M220" i="2"/>
  <c r="O220" i="2"/>
  <c r="P220" i="2"/>
  <c r="M219" i="2"/>
  <c r="O219" i="2"/>
  <c r="P219" i="2"/>
  <c r="M218" i="2"/>
  <c r="O218" i="2"/>
  <c r="P218" i="2"/>
  <c r="M217" i="2"/>
  <c r="O217" i="2"/>
  <c r="P217" i="2"/>
  <c r="M216" i="2"/>
  <c r="O216" i="2"/>
  <c r="P216" i="2"/>
  <c r="M215" i="2"/>
  <c r="O215" i="2"/>
  <c r="P215" i="2"/>
  <c r="M214" i="2"/>
  <c r="O214" i="2"/>
  <c r="P214" i="2"/>
  <c r="M213" i="2"/>
  <c r="O213" i="2"/>
  <c r="P213" i="2"/>
  <c r="M212" i="2"/>
  <c r="O212" i="2"/>
  <c r="P212" i="2"/>
  <c r="M211" i="2"/>
  <c r="O211" i="2"/>
  <c r="P211" i="2"/>
  <c r="M210" i="2"/>
  <c r="O210" i="2"/>
  <c r="P210" i="2"/>
  <c r="M209" i="2"/>
  <c r="O209" i="2"/>
  <c r="P209" i="2"/>
  <c r="M208" i="2"/>
  <c r="O208" i="2"/>
  <c r="P208" i="2"/>
  <c r="M207" i="2"/>
  <c r="O207" i="2"/>
  <c r="P207" i="2"/>
  <c r="M206" i="2"/>
  <c r="O206" i="2"/>
  <c r="P206" i="2"/>
  <c r="M205" i="2"/>
  <c r="O205" i="2"/>
  <c r="P205" i="2"/>
  <c r="M204" i="2"/>
  <c r="O204" i="2"/>
  <c r="P204" i="2"/>
  <c r="M203" i="2"/>
  <c r="O203" i="2"/>
  <c r="P203" i="2"/>
  <c r="M202" i="2"/>
  <c r="O202" i="2"/>
  <c r="P202" i="2"/>
  <c r="M201" i="2"/>
  <c r="O201" i="2"/>
  <c r="P201" i="2"/>
  <c r="M200" i="2"/>
  <c r="O200" i="2"/>
  <c r="P200" i="2"/>
  <c r="M199" i="2"/>
  <c r="O199" i="2"/>
  <c r="P199" i="2"/>
  <c r="M198" i="2"/>
  <c r="O198" i="2"/>
  <c r="P198" i="2"/>
  <c r="M197" i="2"/>
  <c r="O197" i="2"/>
  <c r="P197" i="2"/>
  <c r="M196" i="2"/>
  <c r="O196" i="2"/>
  <c r="P196" i="2"/>
  <c r="M195" i="2"/>
  <c r="O195" i="2"/>
  <c r="P195" i="2"/>
  <c r="M194" i="2"/>
  <c r="O194" i="2"/>
  <c r="P194" i="2"/>
  <c r="M193" i="2"/>
  <c r="O193" i="2"/>
  <c r="P193" i="2"/>
  <c r="M192" i="2"/>
  <c r="O192" i="2"/>
  <c r="P192" i="2"/>
  <c r="M191" i="2"/>
  <c r="O191" i="2"/>
  <c r="P191" i="2"/>
  <c r="M190" i="2"/>
  <c r="O190" i="2"/>
  <c r="P190" i="2"/>
  <c r="M189" i="2"/>
  <c r="O189" i="2"/>
  <c r="P189" i="2"/>
  <c r="M188" i="2"/>
  <c r="O188" i="2"/>
  <c r="P188" i="2"/>
  <c r="M187" i="2"/>
  <c r="O187" i="2"/>
  <c r="P187" i="2"/>
  <c r="M186" i="2"/>
  <c r="O186" i="2"/>
  <c r="P186" i="2"/>
  <c r="M185" i="2"/>
  <c r="O185" i="2"/>
  <c r="P185" i="2"/>
  <c r="M184" i="2"/>
  <c r="O184" i="2"/>
  <c r="P184" i="2"/>
  <c r="M183" i="2"/>
  <c r="O183" i="2"/>
  <c r="P183" i="2"/>
  <c r="M182" i="2"/>
  <c r="O182" i="2"/>
  <c r="P182" i="2"/>
  <c r="M181" i="2"/>
  <c r="O181" i="2"/>
  <c r="P181" i="2"/>
  <c r="M180" i="2"/>
  <c r="O180" i="2"/>
  <c r="P180" i="2"/>
  <c r="M179" i="2"/>
  <c r="O179" i="2"/>
  <c r="P179" i="2"/>
  <c r="M178" i="2"/>
  <c r="O178" i="2"/>
  <c r="P178" i="2"/>
  <c r="M177" i="2"/>
  <c r="O177" i="2"/>
  <c r="P177" i="2"/>
  <c r="M176" i="2"/>
  <c r="O176" i="2"/>
  <c r="P176" i="2"/>
  <c r="M175" i="2"/>
  <c r="O175" i="2"/>
  <c r="P175" i="2"/>
  <c r="M174" i="2"/>
  <c r="O174" i="2"/>
  <c r="P174" i="2"/>
  <c r="M173" i="2"/>
  <c r="O173" i="2"/>
  <c r="P173" i="2"/>
  <c r="M172" i="2"/>
  <c r="O172" i="2"/>
  <c r="P172" i="2"/>
  <c r="M171" i="2"/>
  <c r="O171" i="2"/>
  <c r="P171" i="2"/>
  <c r="M170" i="2"/>
  <c r="O170" i="2"/>
  <c r="P170" i="2"/>
  <c r="M169" i="2"/>
  <c r="O169" i="2"/>
  <c r="P169" i="2"/>
  <c r="M168" i="2"/>
  <c r="O168" i="2"/>
  <c r="P168" i="2"/>
  <c r="M167" i="2"/>
  <c r="O167" i="2"/>
  <c r="P167" i="2"/>
  <c r="M166" i="2"/>
  <c r="O166" i="2"/>
  <c r="P166" i="2"/>
  <c r="M165" i="2"/>
  <c r="O165" i="2"/>
  <c r="P165" i="2"/>
  <c r="M164" i="2"/>
  <c r="O164" i="2"/>
  <c r="P164" i="2"/>
  <c r="M163" i="2"/>
  <c r="O163" i="2"/>
  <c r="P163" i="2"/>
  <c r="M162" i="2"/>
  <c r="O162" i="2"/>
  <c r="P162" i="2"/>
  <c r="M161" i="2"/>
  <c r="O161" i="2"/>
  <c r="P161" i="2"/>
  <c r="M160" i="2"/>
  <c r="O160" i="2"/>
  <c r="P160" i="2"/>
  <c r="M159" i="2"/>
  <c r="O159" i="2"/>
  <c r="P159" i="2"/>
  <c r="M158" i="2"/>
  <c r="O158" i="2"/>
  <c r="P158" i="2"/>
  <c r="M157" i="2"/>
  <c r="O157" i="2"/>
  <c r="P157" i="2"/>
  <c r="M156" i="2"/>
  <c r="O156" i="2"/>
  <c r="P156" i="2"/>
  <c r="M155" i="2"/>
  <c r="O155" i="2"/>
  <c r="P155" i="2"/>
  <c r="M154" i="2"/>
  <c r="O154" i="2"/>
  <c r="P154" i="2"/>
  <c r="M153" i="2"/>
  <c r="O153" i="2"/>
  <c r="P153" i="2"/>
  <c r="M152" i="2"/>
  <c r="O152" i="2"/>
  <c r="P152" i="2"/>
  <c r="M151" i="2"/>
  <c r="O151" i="2"/>
  <c r="P151" i="2"/>
  <c r="M150" i="2"/>
  <c r="O150" i="2"/>
  <c r="P150" i="2"/>
  <c r="M149" i="2"/>
  <c r="O149" i="2"/>
  <c r="P149" i="2"/>
  <c r="M148" i="2"/>
  <c r="O148" i="2"/>
  <c r="P148" i="2"/>
  <c r="M147" i="2"/>
  <c r="O147" i="2"/>
  <c r="P147" i="2"/>
  <c r="M146" i="2"/>
  <c r="O146" i="2"/>
  <c r="P146" i="2"/>
  <c r="M145" i="2"/>
  <c r="O145" i="2"/>
  <c r="P145" i="2"/>
  <c r="M144" i="2"/>
  <c r="O144" i="2"/>
  <c r="P144" i="2"/>
  <c r="M143" i="2"/>
  <c r="O143" i="2"/>
  <c r="P143" i="2"/>
  <c r="M142" i="2"/>
  <c r="O142" i="2"/>
  <c r="P142" i="2"/>
  <c r="M141" i="2"/>
  <c r="O141" i="2"/>
  <c r="P141" i="2"/>
  <c r="M140" i="2"/>
  <c r="O140" i="2"/>
  <c r="P140" i="2"/>
  <c r="M139" i="2"/>
  <c r="O139" i="2"/>
  <c r="P139" i="2"/>
  <c r="M138" i="2"/>
  <c r="O138" i="2"/>
  <c r="P138" i="2"/>
  <c r="M137" i="2"/>
  <c r="O137" i="2"/>
  <c r="P137" i="2"/>
  <c r="M136" i="2"/>
  <c r="O136" i="2"/>
  <c r="P136" i="2"/>
  <c r="M135" i="2"/>
  <c r="O135" i="2"/>
  <c r="P135" i="2"/>
  <c r="M134" i="2"/>
  <c r="O134" i="2"/>
  <c r="P134" i="2"/>
  <c r="M133" i="2"/>
  <c r="O133" i="2"/>
  <c r="P133" i="2"/>
  <c r="M132" i="2"/>
  <c r="O132" i="2"/>
  <c r="P132" i="2"/>
  <c r="M131" i="2"/>
  <c r="O131" i="2"/>
  <c r="P131" i="2"/>
  <c r="M130" i="2"/>
  <c r="O130" i="2"/>
  <c r="P130" i="2"/>
  <c r="M129" i="2"/>
  <c r="O129" i="2"/>
  <c r="P129" i="2"/>
  <c r="M128" i="2"/>
  <c r="O128" i="2"/>
  <c r="P128" i="2"/>
  <c r="M127" i="2"/>
  <c r="O127" i="2"/>
  <c r="P127" i="2"/>
  <c r="M126" i="2"/>
  <c r="O126" i="2"/>
  <c r="P126" i="2"/>
  <c r="M125" i="2"/>
  <c r="O125" i="2"/>
  <c r="P125" i="2"/>
  <c r="M124" i="2"/>
  <c r="O124" i="2"/>
  <c r="P124" i="2"/>
  <c r="M123" i="2"/>
  <c r="O123" i="2"/>
  <c r="P123" i="2"/>
  <c r="M122" i="2"/>
  <c r="O122" i="2"/>
  <c r="P122" i="2"/>
  <c r="M121" i="2"/>
  <c r="O121" i="2"/>
  <c r="P121" i="2"/>
  <c r="M120" i="2"/>
  <c r="O120" i="2"/>
  <c r="P120" i="2"/>
  <c r="M119" i="2"/>
  <c r="O119" i="2"/>
  <c r="P119" i="2"/>
  <c r="M118" i="2"/>
  <c r="O118" i="2"/>
  <c r="P118" i="2"/>
  <c r="M117" i="2"/>
  <c r="O117" i="2"/>
  <c r="P117" i="2"/>
  <c r="M116" i="2"/>
  <c r="O116" i="2"/>
  <c r="P116" i="2"/>
  <c r="M115" i="2"/>
  <c r="O115" i="2"/>
  <c r="P115" i="2"/>
  <c r="M114" i="2"/>
  <c r="O114" i="2"/>
  <c r="P114" i="2"/>
  <c r="M113" i="2"/>
  <c r="O113" i="2"/>
  <c r="P113" i="2"/>
  <c r="M112" i="2"/>
  <c r="O112" i="2"/>
  <c r="P112" i="2"/>
  <c r="A12" i="2"/>
  <c r="K12" i="1"/>
  <c r="A107" i="1"/>
  <c r="A111" i="1"/>
  <c r="G111" i="1"/>
  <c r="M111" i="1" s="1"/>
  <c r="K111" i="1"/>
  <c r="I4" i="1"/>
  <c r="K14" i="1"/>
  <c r="K13" i="1"/>
  <c r="K16" i="1"/>
  <c r="K15" i="1"/>
  <c r="A12" i="1"/>
  <c r="G12" i="1"/>
  <c r="M12" i="1" s="1"/>
  <c r="A110" i="1"/>
  <c r="G110" i="1"/>
  <c r="M110" i="1" s="1"/>
  <c r="K110" i="1"/>
  <c r="A109" i="1"/>
  <c r="G109" i="1"/>
  <c r="M109" i="1" s="1"/>
  <c r="K109" i="1"/>
  <c r="A108" i="1"/>
  <c r="G108" i="1"/>
  <c r="M108" i="1" s="1"/>
  <c r="K108" i="1"/>
  <c r="G107" i="1"/>
  <c r="M107" i="1" s="1"/>
  <c r="K107" i="1"/>
  <c r="O16" i="2"/>
  <c r="M16" i="2"/>
  <c r="P16" i="2"/>
  <c r="O17" i="2"/>
  <c r="O15" i="2"/>
  <c r="O18" i="2"/>
  <c r="O19" i="2"/>
  <c r="O20" i="2"/>
  <c r="O21" i="2"/>
  <c r="O22" i="2"/>
  <c r="O23" i="2"/>
  <c r="O24" i="2"/>
  <c r="O25" i="2"/>
  <c r="O26" i="2"/>
  <c r="O27" i="2"/>
  <c r="O28" i="2"/>
  <c r="O14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12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M17" i="2"/>
  <c r="M15" i="2"/>
  <c r="M18" i="2"/>
  <c r="M19" i="2"/>
  <c r="M20" i="2"/>
  <c r="M21" i="2"/>
  <c r="M22" i="2"/>
  <c r="M23" i="2"/>
  <c r="M24" i="2"/>
  <c r="M25" i="2"/>
  <c r="M26" i="2"/>
  <c r="M27" i="2"/>
  <c r="M28" i="2"/>
  <c r="M14" i="2"/>
  <c r="M29" i="2"/>
  <c r="M30" i="2"/>
  <c r="M31" i="2"/>
  <c r="M32" i="2"/>
  <c r="M33" i="2"/>
  <c r="M34" i="2"/>
  <c r="M35" i="2"/>
  <c r="M36" i="2"/>
  <c r="M37" i="2"/>
  <c r="M13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P15" i="2"/>
  <c r="P17" i="2"/>
  <c r="P18" i="2"/>
  <c r="P19" i="2"/>
  <c r="P20" i="2"/>
  <c r="P21" i="2"/>
  <c r="P22" i="2"/>
  <c r="P23" i="2"/>
  <c r="P24" i="2"/>
  <c r="P25" i="2"/>
  <c r="P26" i="2"/>
  <c r="P27" i="2"/>
  <c r="P28" i="2"/>
  <c r="P14" i="2"/>
  <c r="P29" i="2"/>
  <c r="P30" i="2"/>
  <c r="P31" i="2"/>
  <c r="P32" i="2"/>
  <c r="P33" i="2"/>
  <c r="P34" i="2"/>
  <c r="P35" i="2"/>
  <c r="P36" i="2"/>
  <c r="P37" i="2"/>
  <c r="P13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12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A17" i="2"/>
  <c r="A15" i="2"/>
  <c r="A18" i="2"/>
  <c r="A19" i="2"/>
  <c r="A20" i="2"/>
  <c r="A21" i="2"/>
  <c r="A22" i="2"/>
  <c r="A23" i="2"/>
  <c r="A24" i="2"/>
  <c r="A25" i="2"/>
  <c r="A26" i="2"/>
  <c r="A27" i="2"/>
  <c r="A28" i="2"/>
  <c r="A14" i="2"/>
  <c r="A29" i="2"/>
  <c r="A30" i="2"/>
  <c r="A31" i="2"/>
  <c r="A32" i="2"/>
  <c r="A33" i="2"/>
  <c r="A34" i="2"/>
  <c r="A35" i="2"/>
  <c r="A36" i="2"/>
  <c r="A37" i="2"/>
  <c r="A13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" i="2"/>
  <c r="A13" i="1"/>
  <c r="G104" i="1"/>
  <c r="M104" i="1" s="1"/>
  <c r="G105" i="1"/>
  <c r="M105" i="1" s="1"/>
  <c r="G106" i="1"/>
  <c r="M106" i="1" s="1"/>
  <c r="A106" i="1"/>
  <c r="K106" i="1"/>
  <c r="K105" i="1"/>
  <c r="G18" i="1"/>
  <c r="M18" i="1" s="1"/>
  <c r="G19" i="1"/>
  <c r="M19" i="1" s="1"/>
  <c r="G20" i="1"/>
  <c r="M20" i="1" s="1"/>
  <c r="G21" i="1"/>
  <c r="M21" i="1" s="1"/>
  <c r="G22" i="1"/>
  <c r="M22" i="1" s="1"/>
  <c r="G23" i="1"/>
  <c r="M23" i="1" s="1"/>
  <c r="G24" i="1"/>
  <c r="M24" i="1" s="1"/>
  <c r="G25" i="1"/>
  <c r="M25" i="1" s="1"/>
  <c r="G26" i="1"/>
  <c r="M26" i="1" s="1"/>
  <c r="G27" i="1"/>
  <c r="M27" i="1" s="1"/>
  <c r="G28" i="1"/>
  <c r="M28" i="1" s="1"/>
  <c r="G29" i="1"/>
  <c r="M29" i="1" s="1"/>
  <c r="G30" i="1"/>
  <c r="M30" i="1" s="1"/>
  <c r="G31" i="1"/>
  <c r="M31" i="1" s="1"/>
  <c r="G32" i="1"/>
  <c r="M32" i="1" s="1"/>
  <c r="G33" i="1"/>
  <c r="M33" i="1" s="1"/>
  <c r="G34" i="1"/>
  <c r="M34" i="1" s="1"/>
  <c r="G35" i="1"/>
  <c r="M35" i="1" s="1"/>
  <c r="G36" i="1"/>
  <c r="M36" i="1" s="1"/>
  <c r="G37" i="1"/>
  <c r="M37" i="1" s="1"/>
  <c r="G38" i="1"/>
  <c r="M38" i="1" s="1"/>
  <c r="G39" i="1"/>
  <c r="M39" i="1" s="1"/>
  <c r="G40" i="1"/>
  <c r="M40" i="1" s="1"/>
  <c r="G41" i="1"/>
  <c r="M41" i="1" s="1"/>
  <c r="G42" i="1"/>
  <c r="M42" i="1" s="1"/>
  <c r="G43" i="1"/>
  <c r="M43" i="1" s="1"/>
  <c r="G44" i="1"/>
  <c r="M44" i="1" s="1"/>
  <c r="G45" i="1"/>
  <c r="M45" i="1" s="1"/>
  <c r="G46" i="1"/>
  <c r="M46" i="1" s="1"/>
  <c r="G47" i="1"/>
  <c r="M47" i="1" s="1"/>
  <c r="G48" i="1"/>
  <c r="M48" i="1" s="1"/>
  <c r="G49" i="1"/>
  <c r="M49" i="1" s="1"/>
  <c r="G50" i="1"/>
  <c r="M50" i="1" s="1"/>
  <c r="G51" i="1"/>
  <c r="M51" i="1" s="1"/>
  <c r="G52" i="1"/>
  <c r="M52" i="1" s="1"/>
  <c r="G53" i="1"/>
  <c r="M53" i="1" s="1"/>
  <c r="G54" i="1"/>
  <c r="M54" i="1" s="1"/>
  <c r="G55" i="1"/>
  <c r="M55" i="1" s="1"/>
  <c r="G56" i="1"/>
  <c r="M56" i="1" s="1"/>
  <c r="G57" i="1"/>
  <c r="M57" i="1" s="1"/>
  <c r="G58" i="1"/>
  <c r="M58" i="1" s="1"/>
  <c r="G59" i="1"/>
  <c r="M59" i="1" s="1"/>
  <c r="G60" i="1"/>
  <c r="M60" i="1" s="1"/>
  <c r="G61" i="1"/>
  <c r="M61" i="1" s="1"/>
  <c r="G62" i="1"/>
  <c r="M62" i="1" s="1"/>
  <c r="G63" i="1"/>
  <c r="M63" i="1" s="1"/>
  <c r="G64" i="1"/>
  <c r="M64" i="1" s="1"/>
  <c r="G65" i="1"/>
  <c r="M65" i="1" s="1"/>
  <c r="G66" i="1"/>
  <c r="M66" i="1" s="1"/>
  <c r="G67" i="1"/>
  <c r="M67" i="1" s="1"/>
  <c r="G68" i="1"/>
  <c r="M68" i="1" s="1"/>
  <c r="G69" i="1"/>
  <c r="M69" i="1" s="1"/>
  <c r="G70" i="1"/>
  <c r="M70" i="1" s="1"/>
  <c r="G71" i="1"/>
  <c r="M71" i="1" s="1"/>
  <c r="G72" i="1"/>
  <c r="M72" i="1" s="1"/>
  <c r="G73" i="1"/>
  <c r="M73" i="1" s="1"/>
  <c r="G74" i="1"/>
  <c r="M74" i="1" s="1"/>
  <c r="G75" i="1"/>
  <c r="M75" i="1" s="1"/>
  <c r="G76" i="1"/>
  <c r="M76" i="1" s="1"/>
  <c r="G77" i="1"/>
  <c r="M77" i="1" s="1"/>
  <c r="G78" i="1"/>
  <c r="M78" i="1" s="1"/>
  <c r="G79" i="1"/>
  <c r="M79" i="1" s="1"/>
  <c r="G80" i="1"/>
  <c r="M80" i="1" s="1"/>
  <c r="G81" i="1"/>
  <c r="M81" i="1" s="1"/>
  <c r="G82" i="1"/>
  <c r="M82" i="1" s="1"/>
  <c r="G83" i="1"/>
  <c r="M83" i="1" s="1"/>
  <c r="G84" i="1"/>
  <c r="M84" i="1" s="1"/>
  <c r="G85" i="1"/>
  <c r="M85" i="1" s="1"/>
  <c r="G86" i="1"/>
  <c r="M86" i="1" s="1"/>
  <c r="G87" i="1"/>
  <c r="M87" i="1" s="1"/>
  <c r="G88" i="1"/>
  <c r="M88" i="1" s="1"/>
  <c r="G89" i="1"/>
  <c r="M89" i="1" s="1"/>
  <c r="G90" i="1"/>
  <c r="M90" i="1" s="1"/>
  <c r="G91" i="1"/>
  <c r="M91" i="1" s="1"/>
  <c r="G92" i="1"/>
  <c r="M92" i="1" s="1"/>
  <c r="G93" i="1"/>
  <c r="M93" i="1" s="1"/>
  <c r="G94" i="1"/>
  <c r="M94" i="1" s="1"/>
  <c r="G95" i="1"/>
  <c r="M95" i="1" s="1"/>
  <c r="G96" i="1"/>
  <c r="M96" i="1" s="1"/>
  <c r="G97" i="1"/>
  <c r="M97" i="1" s="1"/>
  <c r="G98" i="1"/>
  <c r="M98" i="1" s="1"/>
  <c r="G99" i="1"/>
  <c r="M99" i="1" s="1"/>
  <c r="G100" i="1"/>
  <c r="M100" i="1" s="1"/>
  <c r="G101" i="1"/>
  <c r="M101" i="1" s="1"/>
  <c r="G102" i="1"/>
  <c r="M102" i="1" s="1"/>
  <c r="G103" i="1"/>
  <c r="M103" i="1" s="1"/>
  <c r="G13" i="1"/>
  <c r="M13" i="1" s="1"/>
  <c r="G14" i="1"/>
  <c r="M14" i="1" s="1"/>
  <c r="G16" i="1"/>
  <c r="M16" i="1" s="1"/>
  <c r="G17" i="1"/>
  <c r="M17" i="1" s="1"/>
  <c r="Z17" i="1"/>
  <c r="Z18" i="1"/>
  <c r="Z19" i="1"/>
  <c r="Z20" i="1"/>
  <c r="Z21" i="1"/>
  <c r="Z22" i="1"/>
  <c r="Z23" i="1"/>
  <c r="Z24" i="1"/>
  <c r="Z13" i="1"/>
  <c r="Y14" i="1"/>
  <c r="Y15" i="1"/>
  <c r="Y16" i="1"/>
  <c r="Y17" i="1"/>
  <c r="Y18" i="1"/>
  <c r="Y19" i="1"/>
  <c r="Y20" i="1"/>
  <c r="Y21" i="1"/>
  <c r="Y22" i="1"/>
  <c r="Y23" i="1"/>
  <c r="Y24" i="1"/>
  <c r="Y13" i="1"/>
  <c r="X14" i="1"/>
  <c r="X15" i="1"/>
  <c r="X16" i="1"/>
  <c r="X17" i="1"/>
  <c r="X18" i="1"/>
  <c r="X19" i="1"/>
  <c r="X20" i="1"/>
  <c r="X21" i="1"/>
  <c r="X22" i="1"/>
  <c r="X23" i="1"/>
  <c r="X24" i="1"/>
  <c r="X13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Z14" i="1"/>
  <c r="T7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C4" i="1" l="1"/>
  <c r="Z16" i="1"/>
  <c r="Z15" i="1"/>
  <c r="C5" i="1" l="1"/>
</calcChain>
</file>

<file path=xl/sharedStrings.xml><?xml version="1.0" encoding="utf-8"?>
<sst xmlns="http://schemas.openxmlformats.org/spreadsheetml/2006/main" count="84" uniqueCount="67">
  <si>
    <t>م</t>
  </si>
  <si>
    <t>اسم العميل</t>
  </si>
  <si>
    <t xml:space="preserve">سعر البيع </t>
  </si>
  <si>
    <t>الحالة</t>
  </si>
  <si>
    <t>رقم الجواز</t>
  </si>
  <si>
    <t>رقم الجوال</t>
  </si>
  <si>
    <t>الربح</t>
  </si>
  <si>
    <t xml:space="preserve">  </t>
  </si>
  <si>
    <t>الوكيل</t>
  </si>
  <si>
    <t>المعتمرون داخل المملكة</t>
  </si>
  <si>
    <t>المعتمرون خارج المملكة</t>
  </si>
  <si>
    <t xml:space="preserve">الشهر </t>
  </si>
  <si>
    <t>اجمالي الشراء</t>
  </si>
  <si>
    <t xml:space="preserve">اجمالي البيع </t>
  </si>
  <si>
    <t>اجمالي الربح</t>
  </si>
  <si>
    <t>بصمة الكترونية تقنياتك الرقمية لها آثر</t>
  </si>
  <si>
    <t>سعرالشراء</t>
  </si>
  <si>
    <t>سعر البيع</t>
  </si>
  <si>
    <t>بحث</t>
  </si>
  <si>
    <t xml:space="preserve"> الدعم الفني : 771436479</t>
  </si>
  <si>
    <t>تقنياتك الرقمية لها أثر</t>
  </si>
  <si>
    <t>سجــــــــــل متابــعة التأشـــيرات الأخـــرى</t>
  </si>
  <si>
    <t xml:space="preserve"> المستلم من العميل</t>
  </si>
  <si>
    <t xml:space="preserve"> الباقي على العميل</t>
  </si>
  <si>
    <t xml:space="preserve"> المحول للوكيل</t>
  </si>
  <si>
    <t xml:space="preserve"> الباقي للوكيل </t>
  </si>
  <si>
    <t>ـ</t>
  </si>
  <si>
    <t>جميع الحقوق محفوظة © 2026 لـ بصمة إلكترونية</t>
  </si>
  <si>
    <t>رقم الطلب</t>
  </si>
  <si>
    <t>نظام إدارة تأشيرات العمرة</t>
  </si>
  <si>
    <t xml:space="preserve">رقم الجوال </t>
  </si>
  <si>
    <t xml:space="preserve">الوكيل </t>
  </si>
  <si>
    <t xml:space="preserve">الباقي للوكيل </t>
  </si>
  <si>
    <t>تاريخ الاصدار</t>
  </si>
  <si>
    <t>مدة الاقامة</t>
  </si>
  <si>
    <t>الباقي على العميل</t>
  </si>
  <si>
    <t>المستلم من العميل</t>
  </si>
  <si>
    <t xml:space="preserve">المحول للوكيل </t>
  </si>
  <si>
    <t>جهة الاصدار</t>
  </si>
  <si>
    <t>سعر الشراء</t>
  </si>
  <si>
    <t xml:space="preserve">جهة الاصدار </t>
  </si>
  <si>
    <t>نوع التاشيرة</t>
  </si>
  <si>
    <t xml:space="preserve">سعر الشراء </t>
  </si>
  <si>
    <t>حالة الارسال</t>
  </si>
  <si>
    <t>تسميات الصفوف</t>
  </si>
  <si>
    <t>الإجمالي الكلي</t>
  </si>
  <si>
    <t>عدد من نوع التاشيرة</t>
  </si>
  <si>
    <t>مجموع من  الباقي على العميل</t>
  </si>
  <si>
    <t xml:space="preserve">مجموع من  الباقي للوكيل </t>
  </si>
  <si>
    <t>مجموع من الربح</t>
  </si>
  <si>
    <t>(الكل)</t>
  </si>
  <si>
    <t>المتبقي</t>
  </si>
  <si>
    <t>إشعار</t>
  </si>
  <si>
    <t>اسم العميل :</t>
  </si>
  <si>
    <t>رقم الجواز :</t>
  </si>
  <si>
    <t>رقم الجوال :</t>
  </si>
  <si>
    <t>المدفوع</t>
  </si>
  <si>
    <t>نهديكم أفضل خدماتنا ونفخر بكوننا جزءاً من تفاصيل رحلتكم. مكتب اللواء الغربي يتمنى لكم سفراً آمناً , وشكراً لكم.</t>
  </si>
  <si>
    <t>📍 المركز الرئيسي:
حورة – الشارع العام – بجانب مطعم عايش
📱 773401413
☎️ 105469079
📍 فرع حريضة:
الشارع العام – مقابل باداود للصرافة
📱 780894143
☎️ 105469027
📞 773415150 – 739541931</t>
  </si>
  <si>
    <t xml:space="preserve"> الحركة</t>
  </si>
  <si>
    <t>التفاصـــــــــيل</t>
  </si>
  <si>
    <t>مكتب اللواء الغربي للنقل والسفريات والسياحة</t>
  </si>
  <si>
    <t>(فارغ)</t>
  </si>
  <si>
    <t>ادخل كود التفعيل هنا ياصديقي</t>
  </si>
  <si>
    <t>الارشيــــــــــــــــف العـــــــــــــــــــام</t>
  </si>
  <si>
    <t>التاريخ /</t>
  </si>
  <si>
    <t>اليــــوم  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</si>
</sst>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-#,##0;;@"/>
    <numFmt numFmtId="165" formatCode="[$-F400]h:mm:ss\ AM/PM"/>
  </numFmts>
  <fonts count="20" x14ac:knownFonts="1">
    <font>
      <sz val="11"/>
      <color theme="1"/>
      <name val="Arial"/>
      <family val="2"/>
      <scheme val="minor"/>
    </font>
    <font>
      <b/>
      <sz val="20"/>
      <color theme="0"/>
      <name val="Arial"/>
      <family val="2"/>
      <scheme val="minor"/>
    </font>
    <font>
      <u/>
      <sz val="11"/>
      <color theme="10"/>
      <name val="Arial"/>
      <family val="2"/>
      <scheme val="minor"/>
    </font>
    <font>
      <i/>
      <sz val="8"/>
      <color theme="8" tint="-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b/>
      <sz val="18"/>
      <color theme="1"/>
      <name val="Arial"/>
      <family val="2"/>
      <scheme val="minor"/>
    </font>
    <font>
      <sz val="11"/>
      <color theme="0" tint="-0.249977111117893"/>
      <name val="Arial"/>
      <family val="2"/>
      <scheme val="minor"/>
    </font>
    <font>
      <sz val="14"/>
      <color theme="1"/>
      <name val="Arial"/>
      <family val="2"/>
      <scheme val="minor"/>
    </font>
    <font>
      <b/>
      <sz val="36"/>
      <color theme="8" tint="0.79998168889431442"/>
      <name val="Arial"/>
      <family val="2"/>
      <scheme val="minor"/>
    </font>
    <font>
      <sz val="18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u val="double"/>
      <sz val="18"/>
      <color theme="1"/>
      <name val="Arial"/>
      <family val="2"/>
      <scheme val="minor"/>
    </font>
    <font>
      <sz val="14"/>
      <color theme="1"/>
      <name val="Simple Bold Jut Out"/>
      <charset val="178"/>
    </font>
    <font>
      <sz val="9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i/>
      <sz val="9"/>
      <color theme="8" tint="-0.249977111117893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</fills>
  <borders count="37">
    <border>
      <left/>
      <right/>
      <top/>
      <bottom/>
      <diagonal/>
    </border>
    <border>
      <left style="thick">
        <color auto="1"/>
      </left>
      <right style="double">
        <color auto="1"/>
      </right>
      <top style="thick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ck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ck">
        <color auto="1"/>
      </right>
      <top/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center" vertical="center"/>
      <protection locked="0"/>
    </xf>
    <xf numFmtId="1" fontId="0" fillId="4" borderId="2" xfId="0" applyNumberFormat="1" applyFill="1" applyBorder="1" applyAlignment="1" applyProtection="1">
      <alignment horizontal="center" vertical="center"/>
      <protection locked="0"/>
    </xf>
    <xf numFmtId="14" fontId="0" fillId="4" borderId="2" xfId="0" applyNumberFormat="1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hidden="1"/>
    </xf>
    <xf numFmtId="0" fontId="0" fillId="4" borderId="4" xfId="0" applyFill="1" applyBorder="1" applyAlignment="1" applyProtection="1">
      <alignment horizontal="center" vertical="center"/>
      <protection hidden="1"/>
    </xf>
    <xf numFmtId="1" fontId="0" fillId="4" borderId="5" xfId="0" applyNumberFormat="1" applyFill="1" applyBorder="1" applyAlignment="1" applyProtection="1">
      <alignment horizontal="center" vertical="center"/>
      <protection locked="0"/>
    </xf>
    <xf numFmtId="14" fontId="0" fillId="4" borderId="5" xfId="0" applyNumberFormat="1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 applyProtection="1">
      <alignment horizontal="center" vertical="center"/>
      <protection locked="0"/>
    </xf>
    <xf numFmtId="0" fontId="0" fillId="4" borderId="4" xfId="0" applyNumberFormat="1" applyFill="1" applyBorder="1" applyAlignment="1" applyProtection="1">
      <alignment horizontal="center" vertical="center"/>
      <protection hidden="1"/>
    </xf>
    <xf numFmtId="0" fontId="0" fillId="4" borderId="5" xfId="0" applyNumberFormat="1" applyFill="1" applyBorder="1" applyAlignment="1" applyProtection="1">
      <alignment horizontal="center" vertical="center"/>
      <protection hidden="1"/>
    </xf>
    <xf numFmtId="0" fontId="4" fillId="0" borderId="0" xfId="0" applyFont="1" applyAlignment="1">
      <alignment vertical="center"/>
    </xf>
    <xf numFmtId="0" fontId="11" fillId="9" borderId="2" xfId="0" applyFont="1" applyFill="1" applyBorder="1" applyAlignment="1">
      <alignment horizontal="center" vertical="top"/>
    </xf>
    <xf numFmtId="0" fontId="11" fillId="9" borderId="3" xfId="0" applyFont="1" applyFill="1" applyBorder="1" applyAlignment="1">
      <alignment horizontal="center" vertical="top"/>
    </xf>
    <xf numFmtId="0" fontId="0" fillId="4" borderId="2" xfId="0" applyNumberFormat="1" applyFill="1" applyBorder="1" applyAlignment="1" applyProtection="1">
      <alignment horizontal="center" vertical="center"/>
      <protection hidden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top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11" fillId="9" borderId="2" xfId="0" applyNumberFormat="1" applyFont="1" applyFill="1" applyBorder="1" applyAlignment="1">
      <alignment horizontal="center" vertical="top"/>
    </xf>
    <xf numFmtId="0" fontId="12" fillId="0" borderId="5" xfId="0" applyNumberFormat="1" applyFont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10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1" fillId="9" borderId="2" xfId="0" applyNumberFormat="1" applyFont="1" applyFill="1" applyBorder="1" applyAlignment="1">
      <alignment horizontal="center" vertical="top"/>
    </xf>
    <xf numFmtId="1" fontId="12" fillId="0" borderId="11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10" xfId="0" applyNumberFormat="1" applyFont="1" applyBorder="1" applyAlignment="1">
      <alignment horizontal="center" vertical="center"/>
    </xf>
    <xf numFmtId="14" fontId="12" fillId="0" borderId="11" xfId="0" applyNumberFormat="1" applyFont="1" applyBorder="1" applyAlignment="1">
      <alignment horizontal="center" vertical="center"/>
    </xf>
    <xf numFmtId="14" fontId="12" fillId="0" borderId="5" xfId="0" applyNumberFormat="1" applyFont="1" applyBorder="1" applyAlignment="1">
      <alignment horizontal="center" vertical="center"/>
    </xf>
    <xf numFmtId="49" fontId="12" fillId="0" borderId="11" xfId="0" applyNumberFormat="1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49" fontId="12" fillId="0" borderId="7" xfId="0" applyNumberFormat="1" applyFont="1" applyBorder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 vertical="top"/>
      <protection locked="0"/>
    </xf>
    <xf numFmtId="0" fontId="0" fillId="4" borderId="9" xfId="0" applyFill="1" applyBorder="1" applyAlignment="1" applyProtection="1">
      <alignment horizontal="center" vertical="center"/>
      <protection hidden="1"/>
    </xf>
    <xf numFmtId="0" fontId="2" fillId="4" borderId="9" xfId="1" applyNumberFormat="1" applyFill="1" applyBorder="1" applyAlignment="1" applyProtection="1">
      <alignment horizontal="center" vertical="center"/>
      <protection hidden="1"/>
    </xf>
    <xf numFmtId="0" fontId="12" fillId="0" borderId="0" xfId="0" applyFont="1" applyAlignment="1">
      <alignment vertical="center"/>
    </xf>
    <xf numFmtId="1" fontId="0" fillId="12" borderId="15" xfId="0" applyNumberFormat="1" applyFill="1" applyBorder="1" applyAlignment="1" applyProtection="1">
      <alignment horizontal="center" vertical="center"/>
      <protection locked="0"/>
    </xf>
    <xf numFmtId="1" fontId="0" fillId="0" borderId="15" xfId="0" applyNumberFormat="1" applyFill="1" applyBorder="1" applyAlignment="1" applyProtection="1">
      <alignment horizontal="center" vertical="center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4" borderId="5" xfId="0" applyFill="1" applyBorder="1" applyAlignment="1" applyProtection="1">
      <alignment horizontal="center" vertical="center"/>
      <protection hidden="1"/>
    </xf>
    <xf numFmtId="0" fontId="7" fillId="7" borderId="15" xfId="0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10" xfId="0" applyFont="1" applyBorder="1" applyAlignment="1" applyProtection="1">
      <alignment horizontal="center" vertical="center"/>
      <protection locked="0"/>
    </xf>
    <xf numFmtId="1" fontId="7" fillId="0" borderId="5" xfId="0" applyNumberFormat="1" applyFont="1" applyBorder="1" applyAlignment="1" applyProtection="1">
      <alignment horizontal="center" vertical="center"/>
      <protection locked="0"/>
    </xf>
    <xf numFmtId="1" fontId="7" fillId="0" borderId="10" xfId="0" applyNumberFormat="1" applyFont="1" applyBorder="1" applyAlignment="1" applyProtection="1">
      <alignment horizontal="center" vertical="center"/>
      <protection locked="0"/>
    </xf>
    <xf numFmtId="14" fontId="7" fillId="0" borderId="5" xfId="0" applyNumberFormat="1" applyFont="1" applyBorder="1" applyAlignment="1" applyProtection="1">
      <alignment horizontal="center" vertical="center"/>
      <protection locked="0"/>
    </xf>
    <xf numFmtId="14" fontId="7" fillId="0" borderId="10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0" fontId="11" fillId="0" borderId="0" xfId="0" applyFont="1" applyAlignment="1">
      <alignment horizontal="center" vertical="center"/>
    </xf>
    <xf numFmtId="49" fontId="7" fillId="0" borderId="5" xfId="0" applyNumberFormat="1" applyFont="1" applyBorder="1" applyAlignment="1" applyProtection="1">
      <alignment horizontal="center" vertical="center"/>
      <protection locked="0"/>
    </xf>
    <xf numFmtId="49" fontId="7" fillId="0" borderId="10" xfId="0" applyNumberFormat="1" applyFont="1" applyBorder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164" fontId="0" fillId="3" borderId="5" xfId="0" applyNumberFormat="1" applyFill="1" applyBorder="1" applyAlignment="1" applyProtection="1">
      <alignment horizontal="center" vertical="center"/>
      <protection locked="0"/>
    </xf>
    <xf numFmtId="164" fontId="0" fillId="3" borderId="9" xfId="0" applyNumberFormat="1" applyFill="1" applyBorder="1" applyAlignment="1" applyProtection="1">
      <alignment horizontal="center" vertical="center"/>
      <protection locked="0"/>
    </xf>
    <xf numFmtId="0" fontId="2" fillId="4" borderId="0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49" fontId="0" fillId="0" borderId="0" xfId="0" applyNumberFormat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top"/>
    </xf>
    <xf numFmtId="14" fontId="0" fillId="0" borderId="0" xfId="0" applyNumberFormat="1" applyAlignment="1" applyProtection="1">
      <alignment horizontal="center"/>
    </xf>
    <xf numFmtId="0" fontId="0" fillId="4" borderId="9" xfId="0" applyNumberFormat="1" applyFill="1" applyBorder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center" vertical="top"/>
    </xf>
    <xf numFmtId="0" fontId="0" fillId="4" borderId="5" xfId="0" applyFill="1" applyBorder="1" applyAlignment="1" applyProtection="1">
      <alignment horizontal="center" vertical="top"/>
    </xf>
    <xf numFmtId="0" fontId="2" fillId="4" borderId="4" xfId="1" applyNumberFormat="1" applyFill="1" applyBorder="1" applyAlignment="1" applyProtection="1">
      <alignment horizontal="center" vertical="center"/>
      <protection hidden="1"/>
    </xf>
    <xf numFmtId="0" fontId="12" fillId="8" borderId="15" xfId="0" applyFont="1" applyFill="1" applyBorder="1" applyAlignment="1" applyProtection="1">
      <alignment horizontal="center" vertical="center"/>
      <protection locked="0"/>
    </xf>
    <xf numFmtId="1" fontId="5" fillId="6" borderId="2" xfId="0" applyNumberFormat="1" applyFont="1" applyFill="1" applyBorder="1" applyAlignment="1" applyProtection="1">
      <alignment horizontal="center" vertical="top"/>
    </xf>
    <xf numFmtId="3" fontId="5" fillId="6" borderId="3" xfId="0" applyNumberFormat="1" applyFont="1" applyFill="1" applyBorder="1" applyAlignment="1" applyProtection="1">
      <alignment horizontal="center" vertical="top"/>
    </xf>
    <xf numFmtId="1" fontId="7" fillId="0" borderId="5" xfId="0" applyNumberFormat="1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5" fillId="6" borderId="1" xfId="0" applyFont="1" applyFill="1" applyBorder="1" applyAlignment="1" applyProtection="1">
      <alignment horizontal="right" vertical="top"/>
    </xf>
    <xf numFmtId="0" fontId="7" fillId="0" borderId="4" xfId="0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0" xfId="0" pivotButton="1" applyAlignment="1" applyProtection="1">
      <alignment horizontal="center" vertical="center"/>
    </xf>
    <xf numFmtId="0" fontId="0" fillId="0" borderId="0" xfId="0" applyAlignment="1" applyProtection="1">
      <alignment horizontal="right"/>
    </xf>
    <xf numFmtId="0" fontId="0" fillId="0" borderId="0" xfId="0" pivotButton="1" applyProtection="1"/>
    <xf numFmtId="0" fontId="0" fillId="0" borderId="0" xfId="0" applyProtection="1"/>
    <xf numFmtId="0" fontId="0" fillId="0" borderId="0" xfId="0" applyNumberFormat="1" applyProtection="1"/>
    <xf numFmtId="0" fontId="10" fillId="0" borderId="0" xfId="0" applyFont="1" applyAlignment="1" applyProtection="1">
      <alignment horizontal="right" vertical="top"/>
      <protection locked="0"/>
    </xf>
    <xf numFmtId="1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0" fontId="14" fillId="0" borderId="0" xfId="0" applyFont="1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5" fillId="6" borderId="2" xfId="0" applyFont="1" applyFill="1" applyBorder="1" applyAlignment="1" applyProtection="1">
      <alignment horizontal="center" vertical="top"/>
      <protection locked="0"/>
    </xf>
    <xf numFmtId="1" fontId="5" fillId="6" borderId="2" xfId="0" applyNumberFormat="1" applyFont="1" applyFill="1" applyBorder="1" applyAlignment="1" applyProtection="1">
      <alignment horizontal="center" vertical="top"/>
      <protection locked="0"/>
    </xf>
    <xf numFmtId="14" fontId="5" fillId="6" borderId="2" xfId="0" applyNumberFormat="1" applyFont="1" applyFill="1" applyBorder="1" applyAlignment="1" applyProtection="1">
      <alignment horizontal="center" vertical="top"/>
      <protection locked="0"/>
    </xf>
    <xf numFmtId="49" fontId="9" fillId="6" borderId="2" xfId="0" applyNumberFormat="1" applyFont="1" applyFill="1" applyBorder="1" applyAlignment="1" applyProtection="1">
      <alignment horizontal="right" vertical="top"/>
      <protection locked="0"/>
    </xf>
    <xf numFmtId="0" fontId="5" fillId="0" borderId="0" xfId="0" applyFont="1" applyProtection="1">
      <protection locked="0"/>
    </xf>
    <xf numFmtId="1" fontId="5" fillId="6" borderId="11" xfId="0" applyNumberFormat="1" applyFont="1" applyFill="1" applyBorder="1" applyAlignment="1" applyProtection="1">
      <alignment horizontal="center" vertical="top"/>
    </xf>
    <xf numFmtId="0" fontId="7" fillId="0" borderId="35" xfId="0" applyFont="1" applyBorder="1" applyAlignment="1" applyProtection="1">
      <alignment horizontal="center" vertical="center"/>
    </xf>
    <xf numFmtId="0" fontId="7" fillId="0" borderId="36" xfId="0" applyFont="1" applyBorder="1" applyAlignment="1" applyProtection="1">
      <alignment horizontal="center" vertical="center"/>
    </xf>
    <xf numFmtId="1" fontId="7" fillId="0" borderId="10" xfId="0" applyNumberFormat="1" applyFont="1" applyBorder="1" applyAlignment="1" applyProtection="1">
      <alignment horizontal="center" vertical="center"/>
    </xf>
    <xf numFmtId="0" fontId="7" fillId="0" borderId="28" xfId="0" applyFont="1" applyBorder="1" applyAlignment="1" applyProtection="1">
      <alignment horizontal="center" vertical="center"/>
    </xf>
    <xf numFmtId="0" fontId="0" fillId="0" borderId="4" xfId="0" applyFont="1" applyBorder="1" applyAlignment="1" applyProtection="1">
      <alignment horizontal="center" vertical="center"/>
    </xf>
    <xf numFmtId="0" fontId="0" fillId="0" borderId="26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0" fillId="0" borderId="17" xfId="0" applyFont="1" applyBorder="1" applyAlignment="1" applyProtection="1">
      <alignment horizontal="center" vertical="center"/>
      <protection locked="0"/>
    </xf>
    <xf numFmtId="0" fontId="0" fillId="0" borderId="18" xfId="0" applyFont="1" applyBorder="1" applyAlignment="1" applyProtection="1">
      <alignment horizontal="center" vertical="center"/>
      <protection locked="0"/>
    </xf>
    <xf numFmtId="0" fontId="0" fillId="0" borderId="19" xfId="0" applyFont="1" applyBorder="1" applyAlignment="1" applyProtection="1">
      <alignment horizontal="center" vertical="center"/>
      <protection locked="0"/>
    </xf>
    <xf numFmtId="0" fontId="0" fillId="0" borderId="20" xfId="0" applyFont="1" applyBorder="1" applyAlignment="1" applyProtection="1">
      <alignment horizontal="center" vertical="center"/>
      <protection locked="0"/>
    </xf>
    <xf numFmtId="0" fontId="0" fillId="0" borderId="21" xfId="0" applyFont="1" applyBorder="1" applyAlignment="1" applyProtection="1">
      <alignment horizontal="center" vertical="center"/>
      <protection locked="0"/>
    </xf>
    <xf numFmtId="0" fontId="0" fillId="0" borderId="22" xfId="0" applyFont="1" applyBorder="1" applyAlignment="1" applyProtection="1">
      <alignment horizontal="center" vertical="center"/>
      <protection locked="0"/>
    </xf>
    <xf numFmtId="0" fontId="0" fillId="0" borderId="23" xfId="0" applyFont="1" applyBorder="1" applyAlignment="1" applyProtection="1">
      <alignment horizontal="center" vertical="center"/>
      <protection locked="0"/>
    </xf>
    <xf numFmtId="0" fontId="0" fillId="0" borderId="24" xfId="0" applyFont="1" applyBorder="1" applyAlignment="1" applyProtection="1">
      <alignment horizontal="center" vertical="center"/>
      <protection locked="0"/>
    </xf>
    <xf numFmtId="0" fontId="0" fillId="0" borderId="25" xfId="0" applyFont="1" applyBorder="1" applyAlignment="1" applyProtection="1">
      <alignment horizontal="center" vertical="center"/>
      <protection locked="0"/>
    </xf>
    <xf numFmtId="0" fontId="10" fillId="11" borderId="5" xfId="0" applyFont="1" applyFill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right" vertical="center" indent="9"/>
    </xf>
    <xf numFmtId="0" fontId="17" fillId="0" borderId="27" xfId="0" applyFont="1" applyBorder="1" applyAlignment="1" applyProtection="1">
      <alignment vertical="center" wrapText="1"/>
    </xf>
    <xf numFmtId="0" fontId="0" fillId="0" borderId="27" xfId="0" applyFont="1" applyBorder="1" applyAlignment="1" applyProtection="1">
      <alignment horizontal="center" vertical="center"/>
    </xf>
    <xf numFmtId="0" fontId="0" fillId="0" borderId="28" xfId="0" applyFont="1" applyBorder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0" fontId="17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horizontal="center" vertical="center"/>
    </xf>
    <xf numFmtId="0" fontId="0" fillId="0" borderId="30" xfId="0" applyFont="1" applyBorder="1" applyAlignment="1" applyProtection="1">
      <alignment horizontal="center" vertical="center"/>
    </xf>
    <xf numFmtId="0" fontId="0" fillId="0" borderId="32" xfId="0" applyFont="1" applyBorder="1" applyAlignment="1" applyProtection="1">
      <alignment horizontal="center" vertical="center"/>
    </xf>
    <xf numFmtId="0" fontId="14" fillId="0" borderId="0" xfId="0" applyFont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0" fillId="0" borderId="31" xfId="0" applyFont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14" fontId="0" fillId="14" borderId="0" xfId="0" applyNumberFormat="1" applyFill="1" applyProtection="1"/>
    <xf numFmtId="14" fontId="12" fillId="0" borderId="16" xfId="0" applyNumberFormat="1" applyFont="1" applyBorder="1" applyAlignment="1" applyProtection="1">
      <alignment horizontal="right" vertical="center"/>
    </xf>
    <xf numFmtId="14" fontId="12" fillId="0" borderId="0" xfId="0" applyNumberFormat="1" applyFont="1" applyBorder="1" applyAlignment="1" applyProtection="1">
      <alignment horizontal="right" vertical="center"/>
      <protection locked="0"/>
    </xf>
    <xf numFmtId="165" fontId="12" fillId="0" borderId="0" xfId="0" applyNumberFormat="1" applyFont="1" applyBorder="1" applyAlignment="1" applyProtection="1">
      <alignment horizontal="right" vertical="center"/>
      <protection locked="0"/>
    </xf>
    <xf numFmtId="0" fontId="4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2" fillId="0" borderId="0" xfId="1" applyFill="1" applyAlignment="1" applyProtection="1">
      <alignment horizontal="right" indent="16"/>
    </xf>
    <xf numFmtId="0" fontId="1" fillId="2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alignment horizontal="center" vertical="center" wrapText="1" readingOrder="1"/>
    </xf>
    <xf numFmtId="0" fontId="3" fillId="4" borderId="0" xfId="0" applyFont="1" applyFill="1" applyAlignment="1" applyProtection="1">
      <alignment horizontal="center" vertical="center" wrapText="1" readingOrder="1"/>
    </xf>
    <xf numFmtId="0" fontId="8" fillId="5" borderId="0" xfId="0" applyFont="1" applyFill="1" applyAlignment="1" applyProtection="1">
      <alignment horizontal="center" vertical="center" wrapText="1"/>
      <protection locked="0"/>
    </xf>
    <xf numFmtId="0" fontId="13" fillId="8" borderId="0" xfId="0" applyFont="1" applyFill="1" applyAlignment="1">
      <alignment horizontal="center" vertical="center"/>
    </xf>
    <xf numFmtId="0" fontId="18" fillId="0" borderId="26" xfId="0" applyFont="1" applyBorder="1" applyAlignment="1" applyProtection="1">
      <alignment horizontal="center" vertical="center" wrapText="1"/>
    </xf>
    <xf numFmtId="0" fontId="18" fillId="0" borderId="27" xfId="0" applyFont="1" applyBorder="1" applyAlignment="1" applyProtection="1">
      <alignment horizontal="center" vertical="center" wrapText="1"/>
    </xf>
    <xf numFmtId="0" fontId="18" fillId="0" borderId="29" xfId="0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center" vertical="center" wrapText="1"/>
    </xf>
    <xf numFmtId="0" fontId="18" fillId="0" borderId="31" xfId="0" applyFont="1" applyBorder="1" applyAlignment="1" applyProtection="1">
      <alignment horizontal="center" vertical="center" wrapText="1"/>
    </xf>
    <xf numFmtId="0" fontId="18" fillId="0" borderId="16" xfId="0" applyFont="1" applyBorder="1" applyAlignment="1" applyProtection="1">
      <alignment horizontal="center" vertical="center" wrapText="1"/>
    </xf>
    <xf numFmtId="0" fontId="16" fillId="0" borderId="33" xfId="0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11" fillId="0" borderId="16" xfId="0" applyFont="1" applyBorder="1" applyAlignment="1" applyProtection="1">
      <alignment horizontal="center" vertical="center" wrapText="1"/>
    </xf>
    <xf numFmtId="0" fontId="0" fillId="0" borderId="16" xfId="0" applyFont="1" applyBorder="1" applyAlignment="1" applyProtection="1">
      <alignment horizontal="center" vertical="center"/>
      <protection locked="0"/>
    </xf>
    <xf numFmtId="1" fontId="0" fillId="0" borderId="34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center"/>
    </xf>
    <xf numFmtId="0" fontId="11" fillId="13" borderId="0" xfId="0" applyFont="1" applyFill="1" applyAlignment="1" applyProtection="1">
      <alignment horizontal="center"/>
    </xf>
  </cellXfs>
  <cellStyles count="2">
    <cellStyle name="ارتباط تشعبي" xfId="1" builtinId="8"/>
    <cellStyle name="عادي" xfId="0" builtinId="0"/>
  </cellStyles>
  <dxfs count="1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/>
        <top style="dashed">
          <color auto="1"/>
        </top>
        <bottom style="dashed">
          <color auto="1"/>
        </bottom>
        <vertical style="dashed">
          <color auto="1"/>
        </vertical>
        <horizontal style="dashed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 style="dashed">
          <color auto="1"/>
        </vertical>
        <horizontal style="dashed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 style="dashed">
          <color auto="1"/>
        </vertical>
        <horizontal style="dashed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dashed">
          <color auto="1"/>
        </right>
        <top style="dashed">
          <color auto="1"/>
        </top>
        <bottom style="dashed">
          <color auto="1"/>
        </bottom>
        <vertical style="dashed">
          <color auto="1"/>
        </vertical>
        <horizontal style="dashed">
          <color auto="1"/>
        </horizontal>
      </border>
      <protection locked="0" hidden="0"/>
    </dxf>
    <dxf>
      <border>
        <top style="dashed">
          <color auto="1"/>
        </top>
      </border>
    </dxf>
    <dxf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border>
        <bottom style="double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thick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double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top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/>
        <top style="double">
          <color auto="1"/>
        </top>
        <bottom style="double">
          <color auto="1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numFmt numFmtId="166" formatCode="m/d/yyyy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0"/>
    </dxf>
    <dxf>
      <border diagonalUp="0" diagonalDown="0">
        <left style="double">
          <color auto="1"/>
        </left>
        <right style="double">
          <color auto="1"/>
        </right>
        <top/>
        <bottom/>
        <vertical style="double">
          <color auto="1"/>
        </vertical>
        <horizontal style="double">
          <color auto="1"/>
        </horizontal>
      </border>
      <protection locked="0" hidden="0"/>
    </dxf>
    <dxf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Arial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center" vertical="top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thick">
          <color auto="1"/>
        </right>
        <top/>
        <bottom/>
      </border>
      <protection locked="1" hidden="1"/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thick">
          <color auto="1"/>
        </right>
        <top style="double">
          <color auto="1"/>
        </top>
        <bottom style="double">
          <color auto="1"/>
        </bottom>
      </border>
      <protection locked="1" hidden="1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1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1" hidden="1"/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1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numFmt numFmtId="166" formatCode="m/d/yyyy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auto="1"/>
        </left>
        <right style="double">
          <color auto="1"/>
        </right>
        <top/>
        <bottom/>
      </border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0" hidden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auto="1"/>
        </left>
        <right style="double">
          <color auto="1"/>
        </right>
        <top/>
        <bottom/>
      </border>
      <protection locked="1" hidden="1"/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double">
          <color auto="1"/>
        </right>
        <top style="double">
          <color auto="1"/>
        </top>
        <bottom style="double">
          <color auto="1"/>
        </bottom>
      </border>
      <protection locked="1" hidden="1"/>
    </dxf>
    <dxf>
      <alignment horizontal="center" textRotation="0" indent="0" justifyLastLine="0" shrinkToFit="0"/>
      <protection locked="0" hidden="0"/>
    </dxf>
    <dxf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theme="0"/>
      </font>
    </dxf>
    <dxf>
      <font>
        <color theme="4" tint="0.39994506668294322"/>
      </font>
    </dxf>
    <dxf>
      <font>
        <color theme="0"/>
      </font>
    </dxf>
    <dxf>
      <font>
        <color theme="0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SA"/>
              <a:t>حالة المعتمرين ( داخل ـ خارج )</a:t>
            </a:r>
          </a:p>
          <a:p>
            <a:pPr>
              <a:defRPr/>
            </a:pPr>
            <a:r>
              <a:rPr lang="ar-SA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15B-4CA5-B4A3-433D7E85AF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15B-4CA5-B4A3-433D7E85AF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المعتمرون!$B$4:$B$5</c:f>
              <c:strCache>
                <c:ptCount val="2"/>
                <c:pt idx="0">
                  <c:v>المعتمرون داخل المملكة</c:v>
                </c:pt>
                <c:pt idx="1">
                  <c:v>المعتمرون خارج المملكة</c:v>
                </c:pt>
              </c:strCache>
            </c:strRef>
          </c:cat>
          <c:val>
            <c:numRef>
              <c:f>المعتمرون!$C$4:$C$5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B-4CA5-B4A3-433D7E85AF1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ar-SA"/>
              <a:t>لوحة التحكم المالية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ar-SA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المعتمرون!$W$12</c:f>
              <c:strCache>
                <c:ptCount val="1"/>
                <c:pt idx="0">
                  <c:v>الشهر </c:v>
                </c:pt>
              </c:strCache>
            </c:strRef>
          </c:tx>
          <c:spPr>
            <a:noFill/>
            <a:ln>
              <a:noFill/>
            </a:ln>
            <a:effectLst/>
            <a:scene3d>
              <a:camera prst="orthographicFront"/>
              <a:lightRig rig="threePt" dir="t"/>
            </a:scene3d>
            <a:sp3d prstMaterial="flat"/>
          </c:spPr>
          <c:invertIfNegative val="0"/>
          <c:dLbls>
            <c:delete val="1"/>
          </c:dLbls>
          <c:val>
            <c:numRef>
              <c:f>المعتمرون!$W$13:$W$24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0-4886-A7D3-AD16EA3D0C39}"/>
            </c:ext>
          </c:extLst>
        </c:ser>
        <c:ser>
          <c:idx val="1"/>
          <c:order val="1"/>
          <c:tx>
            <c:strRef>
              <c:f>المعتمرون!$X$12</c:f>
              <c:strCache>
                <c:ptCount val="1"/>
                <c:pt idx="0">
                  <c:v>اجمالي الشراء</c:v>
                </c:pt>
              </c:strCache>
            </c:strRef>
          </c:tx>
          <c:spPr>
            <a:solidFill>
              <a:schemeClr val="accent2">
                <a:alpha val="88000"/>
              </a:schemeClr>
            </a:solidFill>
            <a:ln>
              <a:solidFill>
                <a:schemeClr val="accent2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2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2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المعتمرون!$X$13:$X$24</c:f>
              <c:numCache>
                <c:formatCode>#,##0;\-#,##0;;@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0-4886-A7D3-AD16EA3D0C39}"/>
            </c:ext>
          </c:extLst>
        </c:ser>
        <c:ser>
          <c:idx val="2"/>
          <c:order val="2"/>
          <c:tx>
            <c:strRef>
              <c:f>المعتمرون!$Y$12</c:f>
              <c:strCache>
                <c:ptCount val="1"/>
                <c:pt idx="0">
                  <c:v>اجمالي البيع </c:v>
                </c:pt>
              </c:strCache>
            </c:strRef>
          </c:tx>
          <c:spPr>
            <a:solidFill>
              <a:schemeClr val="accent3">
                <a:alpha val="88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3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3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المعتمرون!$Y$13:$Y$24</c:f>
              <c:numCache>
                <c:formatCode>#,##0;\-#,##0;;@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A0-4886-A7D3-AD16EA3D0C39}"/>
            </c:ext>
          </c:extLst>
        </c:ser>
        <c:ser>
          <c:idx val="3"/>
          <c:order val="3"/>
          <c:tx>
            <c:strRef>
              <c:f>المعتمرون!$Z$12</c:f>
              <c:strCache>
                <c:ptCount val="1"/>
                <c:pt idx="0">
                  <c:v>اجمالي الربح</c:v>
                </c:pt>
              </c:strCache>
            </c:strRef>
          </c:tx>
          <c:spPr>
            <a:solidFill>
              <a:schemeClr val="accent4">
                <a:alpha val="88000"/>
              </a:schemeClr>
            </a:solidFill>
            <a:ln>
              <a:solidFill>
                <a:schemeClr val="accent4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4">
                  <a:lumMod val="50000"/>
                </a:schemeClr>
              </a:contourClr>
            </a:sp3d>
          </c:spPr>
          <c:invertIfNegative val="0"/>
          <c:dLbls>
            <c:spPr>
              <a:solidFill>
                <a:schemeClr val="accent4">
                  <a:alpha val="30000"/>
                </a:schemeClr>
              </a:solidFill>
              <a:ln>
                <a:solidFill>
                  <a:schemeClr val="lt1">
                    <a:alpha val="50000"/>
                  </a:scheme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المعتمرون!$Z$13:$Z$24</c:f>
              <c:numCache>
                <c:formatCode>#,##0;\-#,##0;;@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A0-4886-A7D3-AD16EA3D0C3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816797120"/>
        <c:axId val="1816788800"/>
        <c:axId val="1573938720"/>
      </c:bar3DChart>
      <c:catAx>
        <c:axId val="1816797120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16788800"/>
        <c:crosses val="autoZero"/>
        <c:auto val="1"/>
        <c:lblAlgn val="ctr"/>
        <c:lblOffset val="100"/>
        <c:noMultiLvlLbl val="0"/>
      </c:catAx>
      <c:valAx>
        <c:axId val="181678880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16797120"/>
        <c:crosses val="autoZero"/>
        <c:crossBetween val="between"/>
      </c:valAx>
      <c:serAx>
        <c:axId val="1573938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1816788800"/>
        <c:crosses val="autoZero"/>
      </c:serAx>
      <c:spPr>
        <a:noFill/>
        <a:ln>
          <a:noFill/>
        </a:ln>
        <a:effectLst/>
      </c:spPr>
    </c:plotArea>
    <c:legend>
      <c:legendPos val="t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[نظام عبور الذكي.xlsm]مؤشرات الأداء!PivotTable1</c:name>
    <c:fmtId val="1"/>
  </c:pivotSource>
  <c:chart>
    <c:autoTitleDeleted val="0"/>
    <c:pivotFmts>
      <c:pivotFmt>
        <c:idx val="0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062878326811372"/>
          <c:y val="3.4188034188034191E-2"/>
          <c:w val="0.80422570123104475"/>
          <c:h val="0.9373219373219373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'مؤشرات الأداء'!$K$20</c:f>
              <c:strCache>
                <c:ptCount val="1"/>
                <c:pt idx="0">
                  <c:v>مجموع من  الباقي على العميل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'مؤشرات الأداء'!$K$21</c:f>
              <c:strCache>
                <c:ptCount val="1"/>
                <c:pt idx="0">
                  <c:v>الإجمالي</c:v>
                </c:pt>
              </c:strCache>
            </c:strRef>
          </c:cat>
          <c:val>
            <c:numRef>
              <c:f>'مؤشرات الأداء'!$K$21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A13-4479-897D-F551380E74F6}"/>
            </c:ext>
          </c:extLst>
        </c:ser>
        <c:ser>
          <c:idx val="1"/>
          <c:order val="1"/>
          <c:tx>
            <c:strRef>
              <c:f>'مؤشرات الأداء'!$L$20</c:f>
              <c:strCache>
                <c:ptCount val="1"/>
                <c:pt idx="0">
                  <c:v>مجموع من  الباقي للوكيل 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'مؤشرات الأداء'!$K$21</c:f>
              <c:strCache>
                <c:ptCount val="1"/>
                <c:pt idx="0">
                  <c:v>الإجمالي</c:v>
                </c:pt>
              </c:strCache>
            </c:strRef>
          </c:cat>
          <c:val>
            <c:numRef>
              <c:f>'مؤشرات الأداء'!$L$21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A13-4479-897D-F551380E74F6}"/>
            </c:ext>
          </c:extLst>
        </c:ser>
        <c:ser>
          <c:idx val="2"/>
          <c:order val="2"/>
          <c:tx>
            <c:strRef>
              <c:f>'مؤشرات الأداء'!$M$20</c:f>
              <c:strCache>
                <c:ptCount val="1"/>
                <c:pt idx="0">
                  <c:v>مجموع من الربح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SA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'مؤشرات الأداء'!$K$21</c:f>
              <c:strCache>
                <c:ptCount val="1"/>
                <c:pt idx="0">
                  <c:v>الإجمالي</c:v>
                </c:pt>
              </c:strCache>
            </c:strRef>
          </c:cat>
          <c:val>
            <c:numRef>
              <c:f>'مؤشرات الأداء'!$M$21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13-4479-897D-F551380E74F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00"/>
        <c:gapDepth val="100"/>
        <c:shape val="box"/>
        <c:axId val="2132282880"/>
        <c:axId val="2132283296"/>
        <c:axId val="0"/>
      </c:bar3DChart>
      <c:catAx>
        <c:axId val="2132282880"/>
        <c:scaling>
          <c:orientation val="maxMin"/>
        </c:scaling>
        <c:delete val="1"/>
        <c:axPos val="b"/>
        <c:numFmt formatCode="General" sourceLinked="1"/>
        <c:majorTickMark val="none"/>
        <c:minorTickMark val="none"/>
        <c:tickLblPos val="nextTo"/>
        <c:crossAx val="2132283296"/>
        <c:crosses val="autoZero"/>
        <c:auto val="1"/>
        <c:lblAlgn val="ctr"/>
        <c:lblOffset val="100"/>
        <c:noMultiLvlLbl val="0"/>
      </c:catAx>
      <c:valAx>
        <c:axId val="2132283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SA"/>
          </a:p>
        </c:txPr>
        <c:crossAx val="2132282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[نظام عبور الذكي.xlsm]مؤشرات الأداء!PivotTable8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ar-S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3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'مؤشرات الأداء'!$C$21</c:f>
              <c:strCache>
                <c:ptCount val="1"/>
                <c:pt idx="0">
                  <c:v>الإجمالي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194-4B0F-AA18-3272F801F2BF}"/>
              </c:ext>
            </c:extLst>
          </c:dPt>
          <c:cat>
            <c:strRef>
              <c:f>'مؤشرات الأداء'!$B$22</c:f>
              <c:strCache>
                <c:ptCount val="1"/>
                <c:pt idx="0">
                  <c:v>الإجمالي الكلي</c:v>
                </c:pt>
              </c:strCache>
            </c:strRef>
          </c:cat>
          <c:val>
            <c:numRef>
              <c:f>'مؤشرات الأداء'!$C$22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B3B-4B38-9C93-438A3432E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ar-S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S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1575;&#1604;&#1605;&#1593;&#1578;&#1605;&#1585;&#1608;&#1606;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&#1575;&#1588;&#1593;&#1575;&#1585; &#1575;&#1604;&#1605;&#1603;&#1578;&#1576;'!A1"/><Relationship Id="rId3" Type="http://schemas.openxmlformats.org/officeDocument/2006/relationships/hyperlink" Target="#'&#1575;&#1604;&#1578;&#1575;&#1588;&#1610;&#1585;&#1575;&#1578; &#1575;&#1604;&#1575;&#1582;&#1585;&#1609;'!A1"/><Relationship Id="rId7" Type="http://schemas.openxmlformats.org/officeDocument/2006/relationships/chart" Target="../charts/chart2.xml"/><Relationship Id="rId2" Type="http://schemas.openxmlformats.org/officeDocument/2006/relationships/hyperlink" Target="#&#1575;&#1604;&#1605;&#1593;&#1578;&#1605;&#1585;&#1608;&#1606;!A1"/><Relationship Id="rId1" Type="http://schemas.openxmlformats.org/officeDocument/2006/relationships/image" Target="../media/image2.jpeg"/><Relationship Id="rId6" Type="http://schemas.openxmlformats.org/officeDocument/2006/relationships/image" Target="../media/image3.jpeg"/><Relationship Id="rId5" Type="http://schemas.openxmlformats.org/officeDocument/2006/relationships/chart" Target="../charts/chart1.xml"/><Relationship Id="rId4" Type="http://schemas.openxmlformats.org/officeDocument/2006/relationships/hyperlink" Target="#&#1575;&#1604;&#1571;&#1585;&#1588;&#1610;&#160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&#1575;&#1604;&#1571;&#1585;&#1588;&#1610;&#1601;!A1"/><Relationship Id="rId2" Type="http://schemas.openxmlformats.org/officeDocument/2006/relationships/hyperlink" Target="#'&#1575;&#1604;&#1578;&#1575;&#1588;&#1610;&#1585;&#1575;&#1578; &#1575;&#1604;&#1575;&#1582;&#1585;&#1609;'!A1"/><Relationship Id="rId1" Type="http://schemas.openxmlformats.org/officeDocument/2006/relationships/hyperlink" Target="#&#1575;&#1604;&#1605;&#1593;&#1578;&#1605;&#1585;&#1608;&#1606;!A1"/><Relationship Id="rId5" Type="http://schemas.openxmlformats.org/officeDocument/2006/relationships/hyperlink" Target="#'&#1575;&#1588;&#1593;&#1575;&#1585; &#1575;&#1604;&#1605;&#1603;&#1578;&#1576;'!A1"/><Relationship Id="rId4" Type="http://schemas.openxmlformats.org/officeDocument/2006/relationships/hyperlink" Target="#'&#1605;&#1572;&#1588;&#1585;&#1575;&#1578; &#1575;&#1604;&#1571;&#1583;&#1575;&#1569;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hyperlink" Target="#'&#1575;&#1604;&#1578;&#1575;&#1588;&#1610;&#1585;&#1575;&#1578; &#1575;&#1604;&#1575;&#1582;&#1585;&#1609;'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&#1575;&#1604;&#1571;&#1585;&#1588;&#1610;&#1601;!A1"/><Relationship Id="rId2" Type="http://schemas.openxmlformats.org/officeDocument/2006/relationships/hyperlink" Target="#'&#1575;&#1604;&#1578;&#1575;&#1588;&#1610;&#1585;&#1575;&#1578; &#1575;&#1604;&#1575;&#1582;&#1585;&#1609;'!A1"/><Relationship Id="rId1" Type="http://schemas.openxmlformats.org/officeDocument/2006/relationships/hyperlink" Target="#&#1575;&#1604;&#1605;&#1593;&#1578;&#1605;&#1585;&#1608;&#1606;!A1"/><Relationship Id="rId4" Type="http://schemas.openxmlformats.org/officeDocument/2006/relationships/hyperlink" Target="#'&#1575;&#1588;&#1593;&#1575;&#1585; &#1575;&#1604;&#1605;&#1603;&#1578;&#1576;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&#1575;&#1604;&#1578;&#1575;&#1588;&#1610;&#1585;&#1575;&#1578; &#1575;&#1604;&#1575;&#1582;&#1585;&#1609;'!A1"/><Relationship Id="rId2" Type="http://schemas.openxmlformats.org/officeDocument/2006/relationships/hyperlink" Target="#&#1575;&#1604;&#1605;&#1593;&#1578;&#1605;&#1585;&#1608;&#1606;!A1"/><Relationship Id="rId1" Type="http://schemas.openxmlformats.org/officeDocument/2006/relationships/image" Target="../media/image4.jpeg"/><Relationship Id="rId5" Type="http://schemas.openxmlformats.org/officeDocument/2006/relationships/hyperlink" Target="#'&#1575;&#1588;&#1593;&#1575;&#1585; &#1575;&#1604;&#1605;&#1603;&#1578;&#1576;'!A1"/><Relationship Id="rId4" Type="http://schemas.openxmlformats.org/officeDocument/2006/relationships/hyperlink" Target="#&#1575;&#1604;&#1571;&#1585;&#1588;&#1610;&#1601;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57150</xdr:rowOff>
    </xdr:from>
    <xdr:to>
      <xdr:col>13</xdr:col>
      <xdr:colOff>171450</xdr:colOff>
      <xdr:row>22</xdr:row>
      <xdr:rowOff>76200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1236950" y="57150"/>
          <a:ext cx="5905500" cy="3930650"/>
        </a:xfrm>
        <a:prstGeom prst="rect">
          <a:avLst/>
        </a:prstGeom>
      </xdr:spPr>
    </xdr:pic>
    <xdr:clientData/>
  </xdr:twoCellAnchor>
  <xdr:twoCellAnchor>
    <xdr:from>
      <xdr:col>7</xdr:col>
      <xdr:colOff>361950</xdr:colOff>
      <xdr:row>23</xdr:row>
      <xdr:rowOff>44450</xdr:rowOff>
    </xdr:from>
    <xdr:to>
      <xdr:col>9</xdr:col>
      <xdr:colOff>571500</xdr:colOff>
      <xdr:row>26</xdr:row>
      <xdr:rowOff>107950</xdr:rowOff>
    </xdr:to>
    <xdr:sp macro="" textlink="">
      <xdr:nvSpPr>
        <xdr:cNvPr id="4" name="مستطيل: زوايا مستديرة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813478500" y="4133850"/>
          <a:ext cx="1530350" cy="596900"/>
        </a:xfrm>
        <a:prstGeom prst="roundRect">
          <a:avLst/>
        </a:prstGeom>
        <a:solidFill>
          <a:schemeClr val="accent1">
            <a:lumMod val="50000"/>
          </a:schemeClr>
        </a:solidFill>
        <a:effectLst>
          <a:glow rad="228600">
            <a:schemeClr val="accent4">
              <a:lumMod val="50000"/>
              <a:alpha val="40000"/>
            </a:schemeClr>
          </a:glo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SA" sz="20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دخــــــول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2</xdr:row>
      <xdr:rowOff>6350</xdr:rowOff>
    </xdr:from>
    <xdr:to>
      <xdr:col>7</xdr:col>
      <xdr:colOff>273050</xdr:colOff>
      <xdr:row>5</xdr:row>
      <xdr:rowOff>6350</xdr:rowOff>
    </xdr:to>
    <xdr:pic>
      <xdr:nvPicPr>
        <xdr:cNvPr id="3" name="صورة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4646900" y="361950"/>
          <a:ext cx="984250" cy="800100"/>
        </a:xfrm>
        <a:prstGeom prst="rect">
          <a:avLst/>
        </a:prstGeom>
      </xdr:spPr>
    </xdr:pic>
    <xdr:clientData/>
  </xdr:twoCellAnchor>
  <xdr:twoCellAnchor>
    <xdr:from>
      <xdr:col>1</xdr:col>
      <xdr:colOff>1212850</xdr:colOff>
      <xdr:row>5</xdr:row>
      <xdr:rowOff>120650</xdr:rowOff>
    </xdr:from>
    <xdr:to>
      <xdr:col>3</xdr:col>
      <xdr:colOff>50800</xdr:colOff>
      <xdr:row>7</xdr:row>
      <xdr:rowOff>139700</xdr:rowOff>
    </xdr:to>
    <xdr:sp macro="" textlink="">
      <xdr:nvSpPr>
        <xdr:cNvPr id="6" name="مستطيل: زوايا مستديرة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821352500" y="1454150"/>
          <a:ext cx="2286000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8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المعتمرون</a:t>
          </a:r>
        </a:p>
      </xdr:txBody>
    </xdr:sp>
    <xdr:clientData/>
  </xdr:twoCellAnchor>
  <xdr:twoCellAnchor>
    <xdr:from>
      <xdr:col>3</xdr:col>
      <xdr:colOff>692150</xdr:colOff>
      <xdr:row>5</xdr:row>
      <xdr:rowOff>133350</xdr:rowOff>
    </xdr:from>
    <xdr:to>
      <xdr:col>5</xdr:col>
      <xdr:colOff>584200</xdr:colOff>
      <xdr:row>7</xdr:row>
      <xdr:rowOff>158750</xdr:rowOff>
    </xdr:to>
    <xdr:sp macro="" textlink="">
      <xdr:nvSpPr>
        <xdr:cNvPr id="7" name="مستطيل: زوايا مستديرة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818558500" y="1466850"/>
          <a:ext cx="2152650" cy="5588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8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التاشيرات</a:t>
          </a:r>
          <a:r>
            <a:rPr lang="ar-SA" sz="18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الاخرى</a:t>
          </a:r>
          <a:endParaRPr lang="ar-SA" sz="18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 fPrintsWithSheet="0"/>
  </xdr:twoCellAnchor>
  <xdr:twoCellAnchor>
    <xdr:from>
      <xdr:col>6</xdr:col>
      <xdr:colOff>508000</xdr:colOff>
      <xdr:row>5</xdr:row>
      <xdr:rowOff>107950</xdr:rowOff>
    </xdr:from>
    <xdr:to>
      <xdr:col>9</xdr:col>
      <xdr:colOff>152400</xdr:colOff>
      <xdr:row>7</xdr:row>
      <xdr:rowOff>133350</xdr:rowOff>
    </xdr:to>
    <xdr:sp macro="" textlink="">
      <xdr:nvSpPr>
        <xdr:cNvPr id="9" name="مستطيل: زوايا مستديرة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0815453350" y="1441450"/>
          <a:ext cx="2222500" cy="5588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8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الأرشيف</a:t>
          </a:r>
          <a:endParaRPr lang="ar-SA" sz="1800"/>
        </a:p>
      </xdr:txBody>
    </xdr:sp>
    <xdr:clientData/>
  </xdr:twoCellAnchor>
  <xdr:twoCellAnchor>
    <xdr:from>
      <xdr:col>14</xdr:col>
      <xdr:colOff>292100</xdr:colOff>
      <xdr:row>1</xdr:row>
      <xdr:rowOff>146050</xdr:rowOff>
    </xdr:from>
    <xdr:to>
      <xdr:col>20</xdr:col>
      <xdr:colOff>361950</xdr:colOff>
      <xdr:row>15</xdr:row>
      <xdr:rowOff>152400</xdr:rowOff>
    </xdr:to>
    <xdr:graphicFrame macro="">
      <xdr:nvGraphicFramePr>
        <xdr:cNvPr id="16" name="مخطط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273050</xdr:colOff>
      <xdr:row>2</xdr:row>
      <xdr:rowOff>19050</xdr:rowOff>
    </xdr:from>
    <xdr:to>
      <xdr:col>9</xdr:col>
      <xdr:colOff>717550</xdr:colOff>
      <xdr:row>3</xdr:row>
      <xdr:rowOff>203200</xdr:rowOff>
    </xdr:to>
    <xdr:pic>
      <xdr:nvPicPr>
        <xdr:cNvPr id="4" name="صورة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4888200" y="552450"/>
          <a:ext cx="444500" cy="450850"/>
        </a:xfrm>
        <a:prstGeom prst="rect">
          <a:avLst/>
        </a:prstGeom>
      </xdr:spPr>
    </xdr:pic>
    <xdr:clientData/>
  </xdr:twoCellAnchor>
  <xdr:twoCellAnchor>
    <xdr:from>
      <xdr:col>14</xdr:col>
      <xdr:colOff>298450</xdr:colOff>
      <xdr:row>16</xdr:row>
      <xdr:rowOff>22225</xdr:rowOff>
    </xdr:from>
    <xdr:to>
      <xdr:col>20</xdr:col>
      <xdr:colOff>368300</xdr:colOff>
      <xdr:row>30</xdr:row>
      <xdr:rowOff>98425</xdr:rowOff>
    </xdr:to>
    <xdr:graphicFrame macro="">
      <xdr:nvGraphicFramePr>
        <xdr:cNvPr id="20" name="مخطط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273050</xdr:colOff>
      <xdr:row>8</xdr:row>
      <xdr:rowOff>6350</xdr:rowOff>
    </xdr:from>
    <xdr:to>
      <xdr:col>12</xdr:col>
      <xdr:colOff>520700</xdr:colOff>
      <xdr:row>9</xdr:row>
      <xdr:rowOff>203200</xdr:rowOff>
    </xdr:to>
    <xdr:sp macro="[0]!CopyDataAndSort" textlink="">
      <xdr:nvSpPr>
        <xdr:cNvPr id="11" name="سهم: مخطط إلى اليمين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flipH="1">
          <a:off x="10812868900" y="2139950"/>
          <a:ext cx="1003300" cy="463550"/>
        </a:xfrm>
        <a:prstGeom prst="stripedRightArrow">
          <a:avLst/>
        </a:prstGeom>
        <a:solidFill>
          <a:schemeClr val="accent1">
            <a:lumMod val="60000"/>
            <a:lumOff val="4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A" sz="105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ترحيل البيانات</a:t>
          </a:r>
        </a:p>
      </xdr:txBody>
    </xdr:sp>
    <xdr:clientData/>
  </xdr:twoCellAnchor>
  <xdr:twoCellAnchor>
    <xdr:from>
      <xdr:col>10</xdr:col>
      <xdr:colOff>57150</xdr:colOff>
      <xdr:row>5</xdr:row>
      <xdr:rowOff>101600</xdr:rowOff>
    </xdr:from>
    <xdr:to>
      <xdr:col>13</xdr:col>
      <xdr:colOff>133350</xdr:colOff>
      <xdr:row>7</xdr:row>
      <xdr:rowOff>127000</xdr:rowOff>
    </xdr:to>
    <xdr:sp macro="" textlink="">
      <xdr:nvSpPr>
        <xdr:cNvPr id="10" name="مستطيل: زوايا مستديرة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1AFEEF1-82D7-4466-ACE9-2B8D1EA44F10}"/>
            </a:ext>
          </a:extLst>
        </xdr:cNvPr>
        <xdr:cNvSpPr/>
      </xdr:nvSpPr>
      <xdr:spPr>
        <a:xfrm>
          <a:off x="10812595850" y="1435100"/>
          <a:ext cx="2222500" cy="5588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h="139700" prst="divo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8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اشعار</a:t>
          </a:r>
          <a:r>
            <a:rPr lang="ar-SA" sz="18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المكتب</a:t>
          </a:r>
        </a:p>
      </xdr:txBody>
    </xdr:sp>
    <xdr:clientData/>
  </xdr:twoCellAnchor>
  <xdr:twoCellAnchor>
    <xdr:from>
      <xdr:col>13</xdr:col>
      <xdr:colOff>184150</xdr:colOff>
      <xdr:row>107</xdr:row>
      <xdr:rowOff>0</xdr:rowOff>
    </xdr:from>
    <xdr:to>
      <xdr:col>14</xdr:col>
      <xdr:colOff>146050</xdr:colOff>
      <xdr:row>111</xdr:row>
      <xdr:rowOff>25400</xdr:rowOff>
    </xdr:to>
    <xdr:sp macro="[0]!Add100RowsToMutamerun" textlink="">
      <xdr:nvSpPr>
        <xdr:cNvPr id="2" name="سهم: لأسفل 1">
          <a:extLst>
            <a:ext uri="{FF2B5EF4-FFF2-40B4-BE49-F238E27FC236}">
              <a16:creationId xmlns:a16="http://schemas.microsoft.com/office/drawing/2014/main" id="{44F774BD-E545-4346-85D8-6C5AB98DC9C1}"/>
            </a:ext>
          </a:extLst>
        </xdr:cNvPr>
        <xdr:cNvSpPr/>
      </xdr:nvSpPr>
      <xdr:spPr>
        <a:xfrm>
          <a:off x="10811922750" y="28536900"/>
          <a:ext cx="622300" cy="1092200"/>
        </a:xfrm>
        <a:prstGeom prst="downArrow">
          <a:avLst/>
        </a:prstGeom>
        <a:solidFill>
          <a:schemeClr val="accent3">
            <a:lumMod val="60000"/>
            <a:lumOff val="40000"/>
          </a:schemeClr>
        </a:solidFill>
        <a:scene3d>
          <a:camera prst="perspectiveHeroicExtremeRightFacing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1" anchor="ctr"/>
        <a:lstStyle/>
        <a:p>
          <a:pPr algn="ctr" rtl="1"/>
          <a:r>
            <a:rPr lang="ar-SA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فتح</a:t>
          </a:r>
          <a:r>
            <a:rPr lang="ar-SA" sz="11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خلايا جديدة</a:t>
          </a:r>
          <a:endParaRPr lang="ar-SA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941209</xdr:colOff>
      <xdr:row>4</xdr:row>
      <xdr:rowOff>163286</xdr:rowOff>
    </xdr:from>
    <xdr:to>
      <xdr:col>3</xdr:col>
      <xdr:colOff>263466</xdr:colOff>
      <xdr:row>5</xdr:row>
      <xdr:rowOff>361951</xdr:rowOff>
    </xdr:to>
    <xdr:grpSp>
      <xdr:nvGrpSpPr>
        <xdr:cNvPr id="2" name="مجموعة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0864051320" y="1759857"/>
          <a:ext cx="3331829" cy="597808"/>
          <a:chOff x="10853908491" y="1759858"/>
          <a:chExt cx="2976794" cy="553358"/>
        </a:xfrm>
      </xdr:grpSpPr>
      <xdr:sp macro="" textlink="">
        <xdr:nvSpPr>
          <xdr:cNvPr id="6" name="متوازي أضلاع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0856395428" y="1768927"/>
            <a:ext cx="489857" cy="544286"/>
          </a:xfrm>
          <a:prstGeom prst="parallelogram">
            <a:avLst/>
          </a:prstGeom>
          <a:solidFill>
            <a:schemeClr val="accent4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7" name="متوازي أضلاع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10853908491" y="1759858"/>
            <a:ext cx="2530926" cy="553358"/>
          </a:xfrm>
          <a:prstGeom prst="parallelogram">
            <a:avLst/>
          </a:prstGeom>
          <a:solidFill>
            <a:schemeClr val="bg2">
              <a:lumMod val="90000"/>
            </a:schemeClr>
          </a:solidFill>
          <a:effectLst>
            <a:innerShdw blurRad="114300">
              <a:prstClr val="black"/>
            </a:innerShdw>
            <a:reflection blurRad="6350" stA="50000" endA="300" endPos="38500" dist="50800" dir="5400000" sy="-100000" algn="bl" rotWithShape="0"/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000" b="1">
                <a:solidFill>
                  <a:schemeClr val="bg1"/>
                </a:solidFill>
              </a:rPr>
              <a:t>المعتمرون</a:t>
            </a:r>
          </a:p>
        </xdr:txBody>
      </xdr:sp>
    </xdr:grpSp>
    <xdr:clientData/>
  </xdr:twoCellAnchor>
  <xdr:twoCellAnchor>
    <xdr:from>
      <xdr:col>4</xdr:col>
      <xdr:colOff>163286</xdr:colOff>
      <xdr:row>4</xdr:row>
      <xdr:rowOff>136070</xdr:rowOff>
    </xdr:from>
    <xdr:to>
      <xdr:col>6</xdr:col>
      <xdr:colOff>988785</xdr:colOff>
      <xdr:row>5</xdr:row>
      <xdr:rowOff>334735</xdr:rowOff>
    </xdr:to>
    <xdr:grpSp>
      <xdr:nvGrpSpPr>
        <xdr:cNvPr id="9" name="مجموعة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0858636073" y="1732641"/>
          <a:ext cx="3809999" cy="597808"/>
          <a:chOff x="10853456286" y="1814285"/>
          <a:chExt cx="2966356" cy="553358"/>
        </a:xfrm>
      </xdr:grpSpPr>
      <xdr:sp macro="" textlink="">
        <xdr:nvSpPr>
          <xdr:cNvPr id="10" name="متوازي أضلاع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10855932785" y="1823357"/>
            <a:ext cx="489857" cy="544286"/>
          </a:xfrm>
          <a:prstGeom prst="parallelogram">
            <a:avLst/>
          </a:prstGeom>
          <a:solidFill>
            <a:schemeClr val="accent4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11" name="متوازي أضلاع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10853456286" y="1814285"/>
            <a:ext cx="2530928" cy="553358"/>
          </a:xfrm>
          <a:prstGeom prst="parallelogram">
            <a:avLst/>
          </a:prstGeom>
          <a:solidFill>
            <a:schemeClr val="bg2">
              <a:lumMod val="90000"/>
            </a:schemeClr>
          </a:solidFill>
          <a:effectLst>
            <a:innerShdw blurRad="114300">
              <a:prstClr val="black"/>
            </a:innerShdw>
            <a:reflection blurRad="6350" stA="50000" endA="300" endPos="38500" dist="50800" dir="5400000" sy="-100000" algn="bl" rotWithShape="0"/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000" b="1">
                <a:solidFill>
                  <a:schemeClr val="bg1"/>
                </a:solidFill>
              </a:rPr>
              <a:t>التاشيرات</a:t>
            </a:r>
            <a:r>
              <a:rPr lang="ar-SA" sz="2000" b="1" baseline="0">
                <a:solidFill>
                  <a:schemeClr val="bg1"/>
                </a:solidFill>
              </a:rPr>
              <a:t> الاخرى</a:t>
            </a:r>
            <a:endParaRPr lang="ar-SA" sz="2000" b="1">
              <a:solidFill>
                <a:schemeClr val="bg1"/>
              </a:solidFill>
            </a:endParaRPr>
          </a:p>
        </xdr:txBody>
      </xdr:sp>
    </xdr:grpSp>
    <xdr:clientData fLocksWithSheet="0"/>
  </xdr:twoCellAnchor>
  <xdr:twoCellAnchor>
    <xdr:from>
      <xdr:col>8</xdr:col>
      <xdr:colOff>373051</xdr:colOff>
      <xdr:row>4</xdr:row>
      <xdr:rowOff>163284</xdr:rowOff>
    </xdr:from>
    <xdr:to>
      <xdr:col>11</xdr:col>
      <xdr:colOff>336766</xdr:colOff>
      <xdr:row>5</xdr:row>
      <xdr:rowOff>361949</xdr:rowOff>
    </xdr:to>
    <xdr:grpSp>
      <xdr:nvGrpSpPr>
        <xdr:cNvPr id="12" name="مجموعة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0853364449" y="1759855"/>
          <a:ext cx="3410858" cy="597808"/>
          <a:chOff x="10853471980" y="1814285"/>
          <a:chExt cx="2950662" cy="553358"/>
        </a:xfrm>
      </xdr:grpSpPr>
      <xdr:sp macro="" textlink="">
        <xdr:nvSpPr>
          <xdr:cNvPr id="13" name="متوازي أضلاع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10855932785" y="1823357"/>
            <a:ext cx="489857" cy="544286"/>
          </a:xfrm>
          <a:prstGeom prst="parallelogram">
            <a:avLst/>
          </a:prstGeom>
          <a:solidFill>
            <a:schemeClr val="accent4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14" name="متوازي أضلاع 1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10853471980" y="1814285"/>
            <a:ext cx="2530928" cy="553358"/>
          </a:xfrm>
          <a:prstGeom prst="parallelogram">
            <a:avLst/>
          </a:prstGeom>
          <a:solidFill>
            <a:schemeClr val="bg2">
              <a:lumMod val="90000"/>
            </a:schemeClr>
          </a:solidFill>
          <a:effectLst>
            <a:innerShdw blurRad="114300">
              <a:prstClr val="black"/>
            </a:innerShdw>
            <a:reflection blurRad="6350" stA="50000" endA="300" endPos="38500" dist="50800" dir="5400000" sy="-100000" algn="bl" rotWithShape="0"/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000" b="1">
                <a:solidFill>
                  <a:schemeClr val="bg1"/>
                </a:solidFill>
              </a:rPr>
              <a:t>الأرشيف</a:t>
            </a:r>
          </a:p>
        </xdr:txBody>
      </xdr:sp>
    </xdr:grpSp>
    <xdr:clientData fLocksWithSheet="0"/>
  </xdr:twoCellAnchor>
  <xdr:twoCellAnchor>
    <xdr:from>
      <xdr:col>5</xdr:col>
      <xdr:colOff>653140</xdr:colOff>
      <xdr:row>7</xdr:row>
      <xdr:rowOff>272145</xdr:rowOff>
    </xdr:from>
    <xdr:to>
      <xdr:col>6</xdr:col>
      <xdr:colOff>1088570</xdr:colOff>
      <xdr:row>9</xdr:row>
      <xdr:rowOff>235857</xdr:rowOff>
    </xdr:to>
    <xdr:sp macro="" textlink="">
      <xdr:nvSpPr>
        <xdr:cNvPr id="5" name="سهم: لليسار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858436502" y="3066145"/>
          <a:ext cx="1823358" cy="761998"/>
        </a:xfrm>
        <a:prstGeom prst="leftArrow">
          <a:avLst/>
        </a:prstGeom>
        <a:solidFill>
          <a:schemeClr val="bg1">
            <a:lumMod val="85000"/>
          </a:schemeClr>
        </a:solidFill>
        <a:effectLst>
          <a:glow rad="63500">
            <a:schemeClr val="accent1">
              <a:satMod val="175000"/>
              <a:alpha val="40000"/>
            </a:schemeClr>
          </a:glow>
          <a:innerShdw blurRad="63500" dist="50800" dir="108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 cap="none" spc="0">
              <a:ln w="10160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solidFill>
                <a:schemeClr val="bg2">
                  <a:lumMod val="5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مؤشرات</a:t>
          </a:r>
          <a:r>
            <a:rPr lang="ar-SA" sz="1600" b="1" cap="none" spc="0" baseline="0">
              <a:ln w="10160">
                <a:solidFill>
                  <a:schemeClr val="tx1">
                    <a:lumMod val="95000"/>
                    <a:lumOff val="5000"/>
                  </a:schemeClr>
                </a:solidFill>
                <a:prstDash val="solid"/>
              </a:ln>
              <a:solidFill>
                <a:schemeClr val="bg2">
                  <a:lumMod val="50000"/>
                </a:schemeClr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الأداء</a:t>
          </a:r>
        </a:p>
      </xdr:txBody>
    </xdr:sp>
    <xdr:clientData/>
  </xdr:twoCellAnchor>
  <xdr:twoCellAnchor>
    <xdr:from>
      <xdr:col>14</xdr:col>
      <xdr:colOff>1088572</xdr:colOff>
      <xdr:row>8</xdr:row>
      <xdr:rowOff>181428</xdr:rowOff>
    </xdr:from>
    <xdr:to>
      <xdr:col>15</xdr:col>
      <xdr:colOff>980622</xdr:colOff>
      <xdr:row>9</xdr:row>
      <xdr:rowOff>235857</xdr:rowOff>
    </xdr:to>
    <xdr:sp macro="[0]!CopyDataAndSort" textlink="">
      <xdr:nvSpPr>
        <xdr:cNvPr id="18" name="سهم: مخطط إلى اليمين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 flipH="1">
          <a:off x="10847431950" y="3374571"/>
          <a:ext cx="1035050" cy="453572"/>
        </a:xfrm>
        <a:prstGeom prst="stripedRightArrow">
          <a:avLst/>
        </a:prstGeom>
        <a:solidFill>
          <a:schemeClr val="bg2">
            <a:lumMod val="75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A" sz="105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ترحيل البيانات</a:t>
          </a:r>
        </a:p>
      </xdr:txBody>
    </xdr:sp>
    <xdr:clientData/>
  </xdr:twoCellAnchor>
  <xdr:twoCellAnchor>
    <xdr:from>
      <xdr:col>12</xdr:col>
      <xdr:colOff>72572</xdr:colOff>
      <xdr:row>4</xdr:row>
      <xdr:rowOff>127000</xdr:rowOff>
    </xdr:from>
    <xdr:to>
      <xdr:col>14</xdr:col>
      <xdr:colOff>816429</xdr:colOff>
      <xdr:row>5</xdr:row>
      <xdr:rowOff>325665</xdr:rowOff>
    </xdr:to>
    <xdr:grpSp>
      <xdr:nvGrpSpPr>
        <xdr:cNvPr id="15" name="مجموعة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E4D8EA2-8045-4BA2-91D5-AE42832AEA2F}"/>
            </a:ext>
          </a:extLst>
        </xdr:cNvPr>
        <xdr:cNvGrpSpPr/>
      </xdr:nvGrpSpPr>
      <xdr:grpSpPr>
        <a:xfrm>
          <a:off x="10848739143" y="1723571"/>
          <a:ext cx="3429000" cy="597808"/>
          <a:chOff x="10853456286" y="1814285"/>
          <a:chExt cx="2966356" cy="553358"/>
        </a:xfrm>
      </xdr:grpSpPr>
      <xdr:sp macro="" textlink="">
        <xdr:nvSpPr>
          <xdr:cNvPr id="16" name="متوازي أضلاع 15">
            <a:extLst>
              <a:ext uri="{FF2B5EF4-FFF2-40B4-BE49-F238E27FC236}">
                <a16:creationId xmlns:a16="http://schemas.microsoft.com/office/drawing/2014/main" id="{29545E1C-CD7C-42DB-BCB2-CD9367382AF8}"/>
              </a:ext>
            </a:extLst>
          </xdr:cNvPr>
          <xdr:cNvSpPr/>
        </xdr:nvSpPr>
        <xdr:spPr>
          <a:xfrm>
            <a:off x="10855932785" y="1823357"/>
            <a:ext cx="489857" cy="544286"/>
          </a:xfrm>
          <a:prstGeom prst="parallelogram">
            <a:avLst/>
          </a:prstGeom>
          <a:solidFill>
            <a:schemeClr val="accent4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17" name="متوازي أضلاع 16">
            <a:extLst>
              <a:ext uri="{FF2B5EF4-FFF2-40B4-BE49-F238E27FC236}">
                <a16:creationId xmlns:a16="http://schemas.microsoft.com/office/drawing/2014/main" id="{1851CB81-754C-4544-8E13-2A02CB0A4110}"/>
              </a:ext>
            </a:extLst>
          </xdr:cNvPr>
          <xdr:cNvSpPr/>
        </xdr:nvSpPr>
        <xdr:spPr>
          <a:xfrm>
            <a:off x="10853456286" y="1814285"/>
            <a:ext cx="2530928" cy="553358"/>
          </a:xfrm>
          <a:prstGeom prst="parallelogram">
            <a:avLst/>
          </a:prstGeom>
          <a:solidFill>
            <a:schemeClr val="bg2">
              <a:lumMod val="90000"/>
            </a:schemeClr>
          </a:solidFill>
          <a:effectLst>
            <a:innerShdw blurRad="114300">
              <a:prstClr val="black"/>
            </a:innerShdw>
            <a:reflection blurRad="6350" stA="50000" endA="300" endPos="38500" dist="50800" dir="5400000" sy="-100000" algn="bl" rotWithShape="0"/>
          </a:effectLst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000" b="1">
                <a:solidFill>
                  <a:schemeClr val="bg1"/>
                </a:solidFill>
              </a:rPr>
              <a:t>اشعار</a:t>
            </a:r>
            <a:r>
              <a:rPr lang="ar-SA" sz="2000" b="1" baseline="0">
                <a:solidFill>
                  <a:schemeClr val="bg1"/>
                </a:solidFill>
              </a:rPr>
              <a:t> المكتب</a:t>
            </a:r>
          </a:p>
        </xdr:txBody>
      </xdr:sp>
    </xdr:grpSp>
    <xdr:clientData fLocksWithSheet="0"/>
  </xdr:twoCellAnchor>
  <xdr:twoCellAnchor>
    <xdr:from>
      <xdr:col>16</xdr:col>
      <xdr:colOff>45357</xdr:colOff>
      <xdr:row>108</xdr:row>
      <xdr:rowOff>208644</xdr:rowOff>
    </xdr:from>
    <xdr:to>
      <xdr:col>17</xdr:col>
      <xdr:colOff>263072</xdr:colOff>
      <xdr:row>112</xdr:row>
      <xdr:rowOff>0</xdr:rowOff>
    </xdr:to>
    <xdr:sp macro="[0]!Add100RowsToVisas" textlink="">
      <xdr:nvSpPr>
        <xdr:cNvPr id="3" name="سهم: لأسفل 2">
          <a:extLst>
            <a:ext uri="{FF2B5EF4-FFF2-40B4-BE49-F238E27FC236}">
              <a16:creationId xmlns:a16="http://schemas.microsoft.com/office/drawing/2014/main" id="{F6F75BC4-6BE3-41D9-8AC6-8E83B99C3225}"/>
            </a:ext>
          </a:extLst>
        </xdr:cNvPr>
        <xdr:cNvSpPr/>
      </xdr:nvSpPr>
      <xdr:spPr>
        <a:xfrm>
          <a:off x="10846480357" y="43470287"/>
          <a:ext cx="879929" cy="1387927"/>
        </a:xfrm>
        <a:prstGeom prst="down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1" anchor="ctr"/>
        <a:lstStyle/>
        <a:p>
          <a:pPr algn="ctr" rtl="1"/>
          <a:r>
            <a:rPr lang="ar-SA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فتح </a:t>
          </a:r>
          <a:r>
            <a:rPr lang="ar-SA" sz="1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خلايا جديدة</a:t>
          </a:r>
          <a:endParaRPr lang="ar-SA" sz="1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584201</xdr:colOff>
      <xdr:row>0</xdr:row>
      <xdr:rowOff>0</xdr:rowOff>
    </xdr:from>
    <xdr:to>
      <xdr:col>18</xdr:col>
      <xdr:colOff>215900</xdr:colOff>
      <xdr:row>14</xdr:row>
      <xdr:rowOff>12700</xdr:rowOff>
    </xdr:to>
    <xdr:graphicFrame macro="">
      <xdr:nvGraphicFramePr>
        <xdr:cNvPr id="6" name="مخطط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323850</xdr:colOff>
      <xdr:row>14</xdr:row>
      <xdr:rowOff>114300</xdr:rowOff>
    </xdr:from>
    <xdr:to>
      <xdr:col>7</xdr:col>
      <xdr:colOff>361950</xdr:colOff>
      <xdr:row>15</xdr:row>
      <xdr:rowOff>196850</xdr:rowOff>
    </xdr:to>
    <xdr:sp macro="" textlink="">
      <xdr:nvSpPr>
        <xdr:cNvPr id="2" name="سهم: لليمين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816577300" y="4559300"/>
          <a:ext cx="1016000" cy="400050"/>
        </a:xfrm>
        <a:prstGeom prst="rightArrow">
          <a:avLst/>
        </a:prstGeom>
        <a:solidFill>
          <a:schemeClr val="bg1">
            <a:lumMod val="95000"/>
          </a:schemeClr>
        </a:solidFill>
        <a:ln>
          <a:solidFill>
            <a:schemeClr val="accent1">
              <a:lumMod val="7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100" b="1" cap="none" spc="0">
              <a:ln w="12700">
                <a:solidFill>
                  <a:schemeClr val="accent5"/>
                </a:solidFill>
                <a:prstDash val="solid"/>
              </a:ln>
              <a:solidFill>
                <a:schemeClr val="accent2">
                  <a:lumMod val="60000"/>
                  <a:lumOff val="40000"/>
                </a:schemeClr>
              </a:solidFill>
              <a:effectLst/>
            </a:rPr>
            <a:t>رجوع</a:t>
          </a:r>
        </a:p>
      </xdr:txBody>
    </xdr:sp>
    <xdr:clientData/>
  </xdr:twoCellAnchor>
  <xdr:twoCellAnchor>
    <xdr:from>
      <xdr:col>0</xdr:col>
      <xdr:colOff>342900</xdr:colOff>
      <xdr:row>14</xdr:row>
      <xdr:rowOff>285750</xdr:rowOff>
    </xdr:from>
    <xdr:to>
      <xdr:col>1</xdr:col>
      <xdr:colOff>6350</xdr:colOff>
      <xdr:row>16</xdr:row>
      <xdr:rowOff>12700</xdr:rowOff>
    </xdr:to>
    <xdr:sp macro="[0]!UpdateAndLockDashboard" textlink="">
      <xdr:nvSpPr>
        <xdr:cNvPr id="8" name="مخطط انسيابي: متعدد المستندات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821993850" y="4730750"/>
          <a:ext cx="641350" cy="361950"/>
        </a:xfrm>
        <a:prstGeom prst="flowChartMultidocument">
          <a:avLst/>
        </a:prstGeom>
        <a:solidFill>
          <a:schemeClr val="bg1">
            <a:lumMod val="95000"/>
          </a:schemeClr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A" sz="1200" b="0" cap="none" spc="0">
              <a:ln w="12700">
                <a:solidFill>
                  <a:schemeClr val="bg2">
                    <a:lumMod val="50000"/>
                  </a:schemeClr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rPr>
            <a:t>تحديث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0</xdr:rowOff>
    </xdr:from>
    <xdr:to>
      <xdr:col>6</xdr:col>
      <xdr:colOff>565150</xdr:colOff>
      <xdr:row>13</xdr:row>
      <xdr:rowOff>304800</xdr:rowOff>
    </xdr:to>
    <xdr:graphicFrame macro="">
      <xdr:nvGraphicFramePr>
        <xdr:cNvPr id="4" name="مخطط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1435100</xdr:colOff>
      <xdr:row>2</xdr:row>
      <xdr:rowOff>223836</xdr:rowOff>
    </xdr:from>
    <xdr:to>
      <xdr:col>3</xdr:col>
      <xdr:colOff>857250</xdr:colOff>
      <xdr:row>7</xdr:row>
      <xdr:rowOff>100012</xdr:rowOff>
    </xdr:to>
    <xdr:grpSp>
      <xdr:nvGrpSpPr>
        <xdr:cNvPr id="21" name="مجموعة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 flipH="1">
          <a:off x="10793952250" y="874711"/>
          <a:ext cx="2954337" cy="1503364"/>
          <a:chOff x="10817536150" y="1600200"/>
          <a:chExt cx="1155700" cy="1308100"/>
        </a:xfrm>
        <a:effectLst>
          <a:outerShdw blurRad="50800" dist="38100" dir="18900000" algn="b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  <a:scene3d>
          <a:camera prst="perspectiveContrastingRightFacing"/>
          <a:lightRig rig="threePt" dir="t"/>
        </a:scene3d>
      </xdr:grpSpPr>
      <xdr:sp macro="" textlink="">
        <xdr:nvSpPr>
          <xdr:cNvPr id="18" name="مستطيل: زاوية مطوية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10817974300" y="1600200"/>
            <a:ext cx="273050" cy="419100"/>
          </a:xfrm>
          <a:prstGeom prst="foldedCorner">
            <a:avLst/>
          </a:prstGeom>
          <a:solidFill>
            <a:schemeClr val="tx1">
              <a:lumMod val="65000"/>
              <a:lumOff val="35000"/>
            </a:schemeClr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20" name="مكعب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10817536150" y="2076450"/>
            <a:ext cx="1155700" cy="831850"/>
          </a:xfrm>
          <a:prstGeom prst="cube">
            <a:avLst/>
          </a:prstGeom>
          <a:solidFill>
            <a:schemeClr val="accent2">
              <a:lumMod val="40000"/>
              <a:lumOff val="60000"/>
            </a:schemeClr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400" b="1" cap="none" spc="0">
                <a:ln w="12700">
                  <a:solidFill>
                    <a:schemeClr val="accent5"/>
                  </a:solidFill>
                  <a:prstDash val="solid"/>
                </a:ln>
                <a:pattFill prst="ltDnDiag">
                  <a:fgClr>
                    <a:schemeClr val="accent5">
                      <a:lumMod val="60000"/>
                      <a:lumOff val="40000"/>
                    </a:schemeClr>
                  </a:fgClr>
                  <a:bgClr>
                    <a:schemeClr val="bg1"/>
                  </a:bgClr>
                </a:pattFill>
                <a:effectLst/>
              </a:rPr>
              <a:t>المعتمرون</a:t>
            </a:r>
            <a:endParaRPr lang="ar-SA" sz="2400"/>
          </a:p>
        </xdr:txBody>
      </xdr:sp>
    </xdr:grpSp>
    <xdr:clientData/>
  </xdr:twoCellAnchor>
  <xdr:twoCellAnchor>
    <xdr:from>
      <xdr:col>3</xdr:col>
      <xdr:colOff>1165225</xdr:colOff>
      <xdr:row>2</xdr:row>
      <xdr:rowOff>223836</xdr:rowOff>
    </xdr:from>
    <xdr:to>
      <xdr:col>7</xdr:col>
      <xdr:colOff>31750</xdr:colOff>
      <xdr:row>7</xdr:row>
      <xdr:rowOff>58736</xdr:rowOff>
    </xdr:to>
    <xdr:grpSp>
      <xdr:nvGrpSpPr>
        <xdr:cNvPr id="22" name="مجموعة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 flipH="1">
          <a:off x="10790737562" y="874711"/>
          <a:ext cx="2906713" cy="1462088"/>
          <a:chOff x="10817536150" y="1600200"/>
          <a:chExt cx="1155700" cy="1308100"/>
        </a:xfrm>
        <a:effectLst>
          <a:outerShdw blurRad="50800" dist="38100" dir="18900000" algn="b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  <a:scene3d>
          <a:camera prst="perspectiveContrastingRightFacing"/>
          <a:lightRig rig="threePt" dir="t"/>
        </a:scene3d>
      </xdr:grpSpPr>
      <xdr:sp macro="" textlink="">
        <xdr:nvSpPr>
          <xdr:cNvPr id="23" name="مستطيل: زاوية مطوية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10817974300" y="1600200"/>
            <a:ext cx="273050" cy="419100"/>
          </a:xfrm>
          <a:prstGeom prst="foldedCorner">
            <a:avLst/>
          </a:prstGeom>
          <a:solidFill>
            <a:schemeClr val="tx1">
              <a:lumMod val="65000"/>
              <a:lumOff val="35000"/>
            </a:schemeClr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24" name="مكعب 2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10817536150" y="2076450"/>
            <a:ext cx="1155700" cy="831850"/>
          </a:xfrm>
          <a:prstGeom prst="cube">
            <a:avLst/>
          </a:prstGeom>
          <a:solidFill>
            <a:schemeClr val="accent2">
              <a:lumMod val="40000"/>
              <a:lumOff val="60000"/>
            </a:schemeClr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400" b="1" cap="none" spc="0">
                <a:ln w="12700">
                  <a:solidFill>
                    <a:schemeClr val="accent5"/>
                  </a:solidFill>
                  <a:prstDash val="solid"/>
                </a:ln>
                <a:pattFill prst="ltDnDiag">
                  <a:fgClr>
                    <a:schemeClr val="accent5">
                      <a:lumMod val="60000"/>
                      <a:lumOff val="40000"/>
                    </a:schemeClr>
                  </a:fgClr>
                  <a:bgClr>
                    <a:schemeClr val="bg1"/>
                  </a:bgClr>
                </a:pattFill>
                <a:effectLst/>
              </a:rPr>
              <a:t>التاشيرات</a:t>
            </a:r>
            <a:r>
              <a:rPr lang="ar-SA" sz="2400" b="1" cap="none" spc="0" baseline="0">
                <a:ln w="12700">
                  <a:solidFill>
                    <a:schemeClr val="accent5"/>
                  </a:solidFill>
                  <a:prstDash val="solid"/>
                </a:ln>
                <a:pattFill prst="ltDnDiag">
                  <a:fgClr>
                    <a:schemeClr val="accent5">
                      <a:lumMod val="60000"/>
                      <a:lumOff val="40000"/>
                    </a:schemeClr>
                  </a:fgClr>
                  <a:bgClr>
                    <a:schemeClr val="bg1"/>
                  </a:bgClr>
                </a:pattFill>
                <a:effectLst/>
              </a:rPr>
              <a:t> الاخرى</a:t>
            </a:r>
            <a:endParaRPr lang="ar-SA" sz="2400"/>
          </a:p>
        </xdr:txBody>
      </xdr:sp>
    </xdr:grpSp>
    <xdr:clientData/>
  </xdr:twoCellAnchor>
  <xdr:twoCellAnchor>
    <xdr:from>
      <xdr:col>7</xdr:col>
      <xdr:colOff>500062</xdr:colOff>
      <xdr:row>2</xdr:row>
      <xdr:rowOff>223836</xdr:rowOff>
    </xdr:from>
    <xdr:to>
      <xdr:col>10</xdr:col>
      <xdr:colOff>1052512</xdr:colOff>
      <xdr:row>7</xdr:row>
      <xdr:rowOff>87312</xdr:rowOff>
    </xdr:to>
    <xdr:grpSp>
      <xdr:nvGrpSpPr>
        <xdr:cNvPr id="25" name="مجموعة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 flipH="1">
          <a:off x="10787430800" y="874711"/>
          <a:ext cx="2838450" cy="1490664"/>
          <a:chOff x="10817536150" y="1600200"/>
          <a:chExt cx="1155700" cy="1308100"/>
        </a:xfrm>
        <a:effectLst>
          <a:outerShdw blurRad="50800" dist="38100" dir="18900000" algn="b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  <a:scene3d>
          <a:camera prst="perspectiveContrastingRightFacing"/>
          <a:lightRig rig="threePt" dir="t"/>
        </a:scene3d>
      </xdr:grpSpPr>
      <xdr:sp macro="" textlink="">
        <xdr:nvSpPr>
          <xdr:cNvPr id="26" name="مستطيل: زاوية مطوية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10817974300" y="1600200"/>
            <a:ext cx="273050" cy="419100"/>
          </a:xfrm>
          <a:prstGeom prst="foldedCorner">
            <a:avLst/>
          </a:prstGeom>
          <a:solidFill>
            <a:schemeClr val="tx1">
              <a:lumMod val="65000"/>
              <a:lumOff val="35000"/>
            </a:schemeClr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27" name="مكعب 2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10817536150" y="2076450"/>
            <a:ext cx="1155700" cy="831850"/>
          </a:xfrm>
          <a:prstGeom prst="cube">
            <a:avLst/>
          </a:prstGeom>
          <a:solidFill>
            <a:schemeClr val="accent2">
              <a:lumMod val="40000"/>
              <a:lumOff val="60000"/>
            </a:schemeClr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400" b="1" cap="none" spc="0">
                <a:ln w="12700">
                  <a:solidFill>
                    <a:schemeClr val="accent5"/>
                  </a:solidFill>
                  <a:prstDash val="solid"/>
                </a:ln>
                <a:pattFill prst="ltDnDiag">
                  <a:fgClr>
                    <a:schemeClr val="accent5">
                      <a:lumMod val="60000"/>
                      <a:lumOff val="40000"/>
                    </a:schemeClr>
                  </a:fgClr>
                  <a:bgClr>
                    <a:schemeClr val="bg1"/>
                  </a:bgClr>
                </a:pattFill>
                <a:effectLst/>
              </a:rPr>
              <a:t>الأرشيــــف</a:t>
            </a:r>
            <a:endParaRPr lang="ar-SA" sz="2400"/>
          </a:p>
        </xdr:txBody>
      </xdr:sp>
    </xdr:grpSp>
    <xdr:clientData/>
  </xdr:twoCellAnchor>
  <xdr:twoCellAnchor>
    <xdr:from>
      <xdr:col>2</xdr:col>
      <xdr:colOff>50800</xdr:colOff>
      <xdr:row>8</xdr:row>
      <xdr:rowOff>50800</xdr:rowOff>
    </xdr:from>
    <xdr:to>
      <xdr:col>2</xdr:col>
      <xdr:colOff>285750</xdr:colOff>
      <xdr:row>8</xdr:row>
      <xdr:rowOff>298450</xdr:rowOff>
    </xdr:to>
    <xdr:grpSp>
      <xdr:nvGrpSpPr>
        <xdr:cNvPr id="4" name="مجموعة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10795682625" y="2654300"/>
          <a:ext cx="234950" cy="247650"/>
          <a:chOff x="10821485850" y="2673350"/>
          <a:chExt cx="133350" cy="323850"/>
        </a:xfrm>
        <a:solidFill>
          <a:schemeClr val="accent1">
            <a:lumMod val="40000"/>
            <a:lumOff val="60000"/>
          </a:schemeClr>
        </a:solidFill>
        <a:effectLst>
          <a:reflection blurRad="6350" stA="52000" endA="300" endPos="35000" dir="5400000" sy="-100000" algn="bl" rotWithShape="0"/>
        </a:effectLst>
      </xdr:grpSpPr>
      <xdr:sp macro="[0]!FindNameSafe" textlink="">
        <xdr:nvSpPr>
          <xdr:cNvPr id="2" name="سهم: منحني لأسفل 1">
            <a:extLst>
              <a:ext uri="{FF2B5EF4-FFF2-40B4-BE49-F238E27FC236}">
                <a16:creationId xmlns:a16="http://schemas.microsoft.com/office/drawing/2014/main" id="{00000000-0008-0000-0400-000002000000}"/>
              </a:ext>
            </a:extLst>
          </xdr:cNvPr>
          <xdr:cNvSpPr/>
        </xdr:nvSpPr>
        <xdr:spPr>
          <a:xfrm>
            <a:off x="10821492200" y="2673350"/>
            <a:ext cx="127000" cy="139700"/>
          </a:xfrm>
          <a:prstGeom prst="curvedDownArrow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>
              <a:solidFill>
                <a:schemeClr val="tx1"/>
              </a:solidFill>
            </a:endParaRPr>
          </a:p>
        </xdr:txBody>
      </xdr:sp>
      <xdr:sp macro="[0]!FindNameSafe" textlink="">
        <xdr:nvSpPr>
          <xdr:cNvPr id="3" name="سهم: منحني لأعلى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0821485850" y="2863850"/>
            <a:ext cx="127000" cy="133350"/>
          </a:xfrm>
          <a:prstGeom prst="curvedUpArrow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0</xdr:col>
      <xdr:colOff>190500</xdr:colOff>
      <xdr:row>2</xdr:row>
      <xdr:rowOff>209550</xdr:rowOff>
    </xdr:from>
    <xdr:to>
      <xdr:col>1</xdr:col>
      <xdr:colOff>565150</xdr:colOff>
      <xdr:row>3</xdr:row>
      <xdr:rowOff>190500</xdr:rowOff>
    </xdr:to>
    <xdr:sp macro="[0]!BackupData" textlink="">
      <xdr:nvSpPr>
        <xdr:cNvPr id="5" name="مستطيل: مشطوف الحواف 4">
          <a:extLst>
            <a:ext uri="{FF2B5EF4-FFF2-40B4-BE49-F238E27FC236}">
              <a16:creationId xmlns:a16="http://schemas.microsoft.com/office/drawing/2014/main" id="{7A26B0D9-3244-4C1A-BD02-B7DB189C21B3}"/>
            </a:ext>
          </a:extLst>
        </xdr:cNvPr>
        <xdr:cNvSpPr/>
      </xdr:nvSpPr>
      <xdr:spPr>
        <a:xfrm>
          <a:off x="10823765500" y="857250"/>
          <a:ext cx="1035050" cy="304800"/>
        </a:xfrm>
        <a:prstGeom prst="bevel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lvl="0" algn="ctr" rtl="1"/>
          <a:r>
            <a:rPr lang="ar-SA" sz="1100" b="1"/>
            <a:t>النسخ</a:t>
          </a:r>
          <a:r>
            <a:rPr lang="ar-SA" sz="1100" b="1" baseline="0"/>
            <a:t> الاحتياطي</a:t>
          </a:r>
          <a:endParaRPr lang="ar-SA" sz="1100" b="1"/>
        </a:p>
      </xdr:txBody>
    </xdr:sp>
    <xdr:clientData/>
  </xdr:twoCellAnchor>
  <xdr:twoCellAnchor>
    <xdr:from>
      <xdr:col>13</xdr:col>
      <xdr:colOff>520700</xdr:colOff>
      <xdr:row>2</xdr:row>
      <xdr:rowOff>260350</xdr:rowOff>
    </xdr:from>
    <xdr:to>
      <xdr:col>15</xdr:col>
      <xdr:colOff>6350</xdr:colOff>
      <xdr:row>3</xdr:row>
      <xdr:rowOff>139700</xdr:rowOff>
    </xdr:to>
    <xdr:sp macro="[0]!RestoreAndSwitch" textlink="">
      <xdr:nvSpPr>
        <xdr:cNvPr id="6" name="مستطيل: مشطوف الحواف 5">
          <a:extLst>
            <a:ext uri="{FF2B5EF4-FFF2-40B4-BE49-F238E27FC236}">
              <a16:creationId xmlns:a16="http://schemas.microsoft.com/office/drawing/2014/main" id="{AD93B46A-6E87-4ECD-B6EB-56664412EF26}"/>
            </a:ext>
          </a:extLst>
        </xdr:cNvPr>
        <xdr:cNvSpPr/>
      </xdr:nvSpPr>
      <xdr:spPr>
        <a:xfrm>
          <a:off x="10810081250" y="908050"/>
          <a:ext cx="971550" cy="203200"/>
        </a:xfrm>
        <a:prstGeom prst="bevel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1" anchor="ctr"/>
        <a:lstStyle/>
        <a:p>
          <a:pPr algn="ctr" rtl="1"/>
          <a:r>
            <a:rPr lang="ar-SA" sz="1100" b="1"/>
            <a:t>استعادة</a:t>
          </a:r>
          <a:r>
            <a:rPr lang="ar-SA" sz="1100" b="1" baseline="0"/>
            <a:t> البيانات</a:t>
          </a:r>
          <a:endParaRPr lang="ar-SA" sz="1100" b="1"/>
        </a:p>
      </xdr:txBody>
    </xdr:sp>
    <xdr:clientData/>
  </xdr:twoCellAnchor>
  <xdr:twoCellAnchor>
    <xdr:from>
      <xdr:col>11</xdr:col>
      <xdr:colOff>404812</xdr:colOff>
      <xdr:row>2</xdr:row>
      <xdr:rowOff>223836</xdr:rowOff>
    </xdr:from>
    <xdr:to>
      <xdr:col>14</xdr:col>
      <xdr:colOff>655637</xdr:colOff>
      <xdr:row>7</xdr:row>
      <xdr:rowOff>87312</xdr:rowOff>
    </xdr:to>
    <xdr:grpSp>
      <xdr:nvGrpSpPr>
        <xdr:cNvPr id="16" name="مجموعة 15">
          <a:extLst>
            <a:ext uri="{FF2B5EF4-FFF2-40B4-BE49-F238E27FC236}">
              <a16:creationId xmlns:a16="http://schemas.microsoft.com/office/drawing/2014/main" id="{488366FE-3199-4E53-97D5-18151B46DAC7}"/>
            </a:ext>
          </a:extLst>
        </xdr:cNvPr>
        <xdr:cNvGrpSpPr/>
      </xdr:nvGrpSpPr>
      <xdr:grpSpPr>
        <a:xfrm flipH="1">
          <a:off x="10784144675" y="874711"/>
          <a:ext cx="2838450" cy="1490664"/>
          <a:chOff x="10817536150" y="1600200"/>
          <a:chExt cx="1155700" cy="1308100"/>
        </a:xfrm>
        <a:effectLst>
          <a:outerShdw blurRad="50800" dist="38100" dir="18900000" algn="b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  <a:scene3d>
          <a:camera prst="perspectiveContrastingRightFacing"/>
          <a:lightRig rig="threePt" dir="t"/>
        </a:scene3d>
      </xdr:grpSpPr>
      <xdr:sp macro="" textlink="">
        <xdr:nvSpPr>
          <xdr:cNvPr id="17" name="مستطيل: زاوية مطوية 16">
            <a:extLst>
              <a:ext uri="{FF2B5EF4-FFF2-40B4-BE49-F238E27FC236}">
                <a16:creationId xmlns:a16="http://schemas.microsoft.com/office/drawing/2014/main" id="{B76BAD29-EE4B-4766-B77B-11047D03D475}"/>
              </a:ext>
            </a:extLst>
          </xdr:cNvPr>
          <xdr:cNvSpPr/>
        </xdr:nvSpPr>
        <xdr:spPr>
          <a:xfrm>
            <a:off x="10817974300" y="1600200"/>
            <a:ext cx="273050" cy="419100"/>
          </a:xfrm>
          <a:prstGeom prst="foldedCorner">
            <a:avLst/>
          </a:prstGeom>
          <a:solidFill>
            <a:schemeClr val="tx1">
              <a:lumMod val="65000"/>
              <a:lumOff val="35000"/>
            </a:schemeClr>
          </a:solidFill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ar-SA" sz="1100"/>
          </a:p>
        </xdr:txBody>
      </xdr:sp>
      <xdr:sp macro="" textlink="">
        <xdr:nvSpPr>
          <xdr:cNvPr id="19" name="مكعب 1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23D6646-B97F-4CCA-9054-B621ECA4001D}"/>
              </a:ext>
            </a:extLst>
          </xdr:cNvPr>
          <xdr:cNvSpPr/>
        </xdr:nvSpPr>
        <xdr:spPr>
          <a:xfrm>
            <a:off x="10817536150" y="2076450"/>
            <a:ext cx="1155700" cy="831850"/>
          </a:xfrm>
          <a:prstGeom prst="cube">
            <a:avLst/>
          </a:prstGeom>
          <a:solidFill>
            <a:schemeClr val="accent2">
              <a:lumMod val="40000"/>
              <a:lumOff val="60000"/>
            </a:schemeClr>
          </a:solidFill>
          <a:effectLst>
            <a:glow rad="63500">
              <a:schemeClr val="accent5">
                <a:satMod val="175000"/>
                <a:alpha val="40000"/>
              </a:schemeClr>
            </a:glow>
          </a:effectLst>
          <a:sp3d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ctr"/>
          <a:lstStyle/>
          <a:p>
            <a:pPr algn="ctr" rtl="1"/>
            <a:r>
              <a:rPr lang="ar-SA" sz="2400" b="1" cap="none" spc="0">
                <a:ln w="12700">
                  <a:solidFill>
                    <a:schemeClr val="accent5"/>
                  </a:solidFill>
                  <a:prstDash val="solid"/>
                </a:ln>
                <a:pattFill prst="ltDnDiag">
                  <a:fgClr>
                    <a:schemeClr val="accent5">
                      <a:lumMod val="60000"/>
                      <a:lumOff val="40000"/>
                    </a:schemeClr>
                  </a:fgClr>
                  <a:bgClr>
                    <a:schemeClr val="bg1"/>
                  </a:bgClr>
                </a:pattFill>
                <a:effectLst/>
              </a:rPr>
              <a:t>اشعار</a:t>
            </a:r>
            <a:r>
              <a:rPr lang="ar-SA" sz="2400" b="1" cap="none" spc="0" baseline="0">
                <a:ln w="12700">
                  <a:solidFill>
                    <a:schemeClr val="accent5"/>
                  </a:solidFill>
                  <a:prstDash val="solid"/>
                </a:ln>
                <a:pattFill prst="ltDnDiag">
                  <a:fgClr>
                    <a:schemeClr val="accent5">
                      <a:lumMod val="60000"/>
                      <a:lumOff val="40000"/>
                    </a:schemeClr>
                  </a:fgClr>
                  <a:bgClr>
                    <a:schemeClr val="bg1"/>
                  </a:bgClr>
                </a:pattFill>
                <a:effectLst/>
              </a:rPr>
              <a:t> المكتب</a:t>
            </a:r>
            <a:endParaRPr lang="ar-SA" sz="2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endParaRPr>
          </a:p>
        </xdr:txBody>
      </xdr:sp>
    </xdr:grpSp>
    <xdr:clientData/>
  </xdr:twoCellAnchor>
  <xdr:twoCellAnchor>
    <xdr:from>
      <xdr:col>15</xdr:col>
      <xdr:colOff>222249</xdr:colOff>
      <xdr:row>100</xdr:row>
      <xdr:rowOff>261939</xdr:rowOff>
    </xdr:from>
    <xdr:to>
      <xdr:col>16</xdr:col>
      <xdr:colOff>404812</xdr:colOff>
      <xdr:row>105</xdr:row>
      <xdr:rowOff>1</xdr:rowOff>
    </xdr:to>
    <xdr:sp macro="[0]!Add100RowsToArchive" textlink="">
      <xdr:nvSpPr>
        <xdr:cNvPr id="7" name="سهم: لأسفل 6">
          <a:extLst>
            <a:ext uri="{FF2B5EF4-FFF2-40B4-BE49-F238E27FC236}">
              <a16:creationId xmlns:a16="http://schemas.microsoft.com/office/drawing/2014/main" id="{A77AB70C-4C54-4C5D-BA5E-29F0F153276F}"/>
            </a:ext>
          </a:extLst>
        </xdr:cNvPr>
        <xdr:cNvSpPr/>
      </xdr:nvSpPr>
      <xdr:spPr>
        <a:xfrm>
          <a:off x="10783038188" y="32805689"/>
          <a:ext cx="841375" cy="1365250"/>
        </a:xfrm>
        <a:prstGeom prst="downArrow">
          <a:avLst/>
        </a:prstGeom>
        <a:solidFill>
          <a:schemeClr val="accent1">
            <a:lumMod val="50000"/>
          </a:schemeClr>
        </a:solidFill>
        <a:scene3d>
          <a:camera prst="perspectiveContrastingRightFacing"/>
          <a:lightRig rig="threePt" dir="t"/>
        </a:scene3d>
        <a:sp3d>
          <a:bevelT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1" anchor="ctr"/>
        <a:lstStyle/>
        <a:p>
          <a:pPr algn="ctr" rtl="1"/>
          <a:r>
            <a:rPr lang="ar-SA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فتح</a:t>
          </a:r>
          <a:r>
            <a:rPr lang="ar-SA" sz="1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خلايا جديدة</a:t>
          </a:r>
          <a:endParaRPr lang="ar-SA" sz="1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673100</xdr:colOff>
      <xdr:row>0</xdr:row>
      <xdr:rowOff>31750</xdr:rowOff>
    </xdr:from>
    <xdr:to>
      <xdr:col>3</xdr:col>
      <xdr:colOff>539750</xdr:colOff>
      <xdr:row>2</xdr:row>
      <xdr:rowOff>368300</xdr:rowOff>
    </xdr:to>
    <xdr:pic>
      <xdr:nvPicPr>
        <xdr:cNvPr id="3" name="صورة 2">
          <a:extLst>
            <a:ext uri="{FF2B5EF4-FFF2-40B4-BE49-F238E27FC236}">
              <a16:creationId xmlns:a16="http://schemas.microsoft.com/office/drawing/2014/main" id="{1B8B6DD8-3DBA-4608-8325-AEE475420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18056850" y="31750"/>
          <a:ext cx="1435100" cy="10985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7</xdr:col>
      <xdr:colOff>323850</xdr:colOff>
      <xdr:row>1</xdr:row>
      <xdr:rowOff>330200</xdr:rowOff>
    </xdr:from>
    <xdr:to>
      <xdr:col>10</xdr:col>
      <xdr:colOff>355600</xdr:colOff>
      <xdr:row>3</xdr:row>
      <xdr:rowOff>361950</xdr:rowOff>
    </xdr:to>
    <xdr:sp macro="" textlink="">
      <xdr:nvSpPr>
        <xdr:cNvPr id="19" name="شريط: منحني ومائل لأعلى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0FFF65A-10F7-4E11-B88E-856F5E189667}"/>
            </a:ext>
          </a:extLst>
        </xdr:cNvPr>
        <xdr:cNvSpPr/>
      </xdr:nvSpPr>
      <xdr:spPr>
        <a:xfrm>
          <a:off x="10813034000" y="711200"/>
          <a:ext cx="1778000" cy="793750"/>
        </a:xfrm>
        <a:prstGeom prst="ellipseRibbon2">
          <a:avLst/>
        </a:prstGeom>
        <a:solidFill>
          <a:schemeClr val="bg1">
            <a:lumMod val="75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  <a:effectLst>
          <a:reflection blurRad="6350" stA="50000" endA="300" endPos="90000" dir="5400000" sy="-100000" algn="bl" rotWithShape="0"/>
        </a:effectLst>
        <a:scene3d>
          <a:camera prst="obliqueTop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المعتمرون</a:t>
          </a:r>
        </a:p>
      </xdr:txBody>
    </xdr:sp>
    <xdr:clientData/>
  </xdr:twoCellAnchor>
  <xdr:twoCellAnchor>
    <xdr:from>
      <xdr:col>11</xdr:col>
      <xdr:colOff>419100</xdr:colOff>
      <xdr:row>1</xdr:row>
      <xdr:rowOff>298450</xdr:rowOff>
    </xdr:from>
    <xdr:to>
      <xdr:col>14</xdr:col>
      <xdr:colOff>215900</xdr:colOff>
      <xdr:row>3</xdr:row>
      <xdr:rowOff>374650</xdr:rowOff>
    </xdr:to>
    <xdr:sp macro="" textlink="">
      <xdr:nvSpPr>
        <xdr:cNvPr id="20" name="شريط: منحني ومائل لأعلى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0B729F-ECAE-4F80-A158-A6FE47173E1F}"/>
            </a:ext>
          </a:extLst>
        </xdr:cNvPr>
        <xdr:cNvSpPr/>
      </xdr:nvSpPr>
      <xdr:spPr>
        <a:xfrm>
          <a:off x="10810532100" y="679450"/>
          <a:ext cx="1778000" cy="838200"/>
        </a:xfrm>
        <a:prstGeom prst="ellipseRibbon2">
          <a:avLst/>
        </a:prstGeom>
        <a:solidFill>
          <a:schemeClr val="bg1">
            <a:lumMod val="75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  <a:effectLst>
          <a:reflection blurRad="6350" stA="50000" endA="300" endPos="90000" dir="5400000" sy="-100000" algn="bl" rotWithShape="0"/>
        </a:effectLst>
        <a:scene3d>
          <a:camera prst="obliqueTop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التاشيرات</a:t>
          </a:r>
          <a:r>
            <a:rPr lang="ar-SA" sz="16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الاخرى</a:t>
          </a:r>
          <a:endParaRPr lang="ar-SA" sz="16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  <xdr:twoCellAnchor>
    <xdr:from>
      <xdr:col>11</xdr:col>
      <xdr:colOff>463550</xdr:colOff>
      <xdr:row>6</xdr:row>
      <xdr:rowOff>107950</xdr:rowOff>
    </xdr:from>
    <xdr:to>
      <xdr:col>14</xdr:col>
      <xdr:colOff>260350</xdr:colOff>
      <xdr:row>9</xdr:row>
      <xdr:rowOff>25400</xdr:rowOff>
    </xdr:to>
    <xdr:sp macro="" textlink="">
      <xdr:nvSpPr>
        <xdr:cNvPr id="21" name="شريط: منحني ومائل لأعلى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8D42B58-CB03-42E3-9059-8FE14804FE3A}"/>
            </a:ext>
          </a:extLst>
        </xdr:cNvPr>
        <xdr:cNvSpPr/>
      </xdr:nvSpPr>
      <xdr:spPr>
        <a:xfrm>
          <a:off x="10810487650" y="2266950"/>
          <a:ext cx="1778000" cy="869950"/>
        </a:xfrm>
        <a:prstGeom prst="ellipseRibbon2">
          <a:avLst/>
        </a:prstGeom>
        <a:solidFill>
          <a:schemeClr val="bg1">
            <a:lumMod val="75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  <a:effectLst>
          <a:reflection blurRad="6350" stA="50000" endA="300" endPos="90000" dir="5400000" sy="-100000" algn="bl" rotWithShape="0"/>
        </a:effectLst>
        <a:scene3d>
          <a:camera prst="obliqueTop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الارشيف</a:t>
          </a:r>
        </a:p>
      </xdr:txBody>
    </xdr:sp>
    <xdr:clientData/>
  </xdr:twoCellAnchor>
  <xdr:twoCellAnchor>
    <xdr:from>
      <xdr:col>7</xdr:col>
      <xdr:colOff>349250</xdr:colOff>
      <xdr:row>6</xdr:row>
      <xdr:rowOff>114300</xdr:rowOff>
    </xdr:from>
    <xdr:to>
      <xdr:col>10</xdr:col>
      <xdr:colOff>381000</xdr:colOff>
      <xdr:row>9</xdr:row>
      <xdr:rowOff>57150</xdr:rowOff>
    </xdr:to>
    <xdr:sp macro="" textlink="">
      <xdr:nvSpPr>
        <xdr:cNvPr id="22" name="شريط: منحني ومائل لأعلى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F88AF05-B8AB-4606-9488-7A5748B13606}"/>
            </a:ext>
          </a:extLst>
        </xdr:cNvPr>
        <xdr:cNvSpPr/>
      </xdr:nvSpPr>
      <xdr:spPr>
        <a:xfrm>
          <a:off x="10813008600" y="2273300"/>
          <a:ext cx="1778000" cy="895350"/>
        </a:xfrm>
        <a:prstGeom prst="ellipseRibbon2">
          <a:avLst/>
        </a:prstGeom>
        <a:solidFill>
          <a:schemeClr val="bg1">
            <a:lumMod val="75000"/>
          </a:schemeClr>
        </a:solidFill>
        <a:ln>
          <a:solidFill>
            <a:schemeClr val="accent4">
              <a:lumMod val="60000"/>
              <a:lumOff val="40000"/>
            </a:schemeClr>
          </a:solidFill>
        </a:ln>
        <a:effectLst>
          <a:reflection blurRad="6350" stA="50000" endA="300" endPos="90000" dir="5400000" sy="-100000" algn="bl" rotWithShape="0"/>
        </a:effectLst>
        <a:scene3d>
          <a:camera prst="obliqueTopLef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اشعار</a:t>
          </a:r>
          <a:r>
            <a:rPr lang="ar-SA" sz="16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المكتب</a:t>
          </a:r>
          <a:endParaRPr lang="ar-SA" sz="16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10</xdr:row>
      <xdr:rowOff>0</xdr:rowOff>
    </xdr:from>
    <xdr:to>
      <xdr:col>2</xdr:col>
      <xdr:colOff>12700</xdr:colOff>
      <xdr:row>13</xdr:row>
      <xdr:rowOff>69850</xdr:rowOff>
    </xdr:to>
    <xdr:sp macro="[0]!CheckActivationButton" textlink="">
      <xdr:nvSpPr>
        <xdr:cNvPr id="2" name="سهم: مسنن إلى اليمين 1">
          <a:extLst>
            <a:ext uri="{FF2B5EF4-FFF2-40B4-BE49-F238E27FC236}">
              <a16:creationId xmlns:a16="http://schemas.microsoft.com/office/drawing/2014/main" id="{FE59552B-F05A-4212-824C-7BDD714EEEAC}"/>
            </a:ext>
          </a:extLst>
        </xdr:cNvPr>
        <xdr:cNvSpPr/>
      </xdr:nvSpPr>
      <xdr:spPr>
        <a:xfrm>
          <a:off x="10819650700" y="1860550"/>
          <a:ext cx="1016000" cy="603250"/>
        </a:xfrm>
        <a:prstGeom prst="notchedRightArrow">
          <a:avLst/>
        </a:prstGeom>
        <a:solidFill>
          <a:schemeClr val="bg1">
            <a:lumMod val="65000"/>
          </a:schemeClr>
        </a:solidFill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A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تفعيل</a:t>
          </a:r>
          <a:endParaRPr lang="ar-SA" sz="16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-com" refreshedDate="46203.016264699072" createdVersion="7" refreshedVersion="7" minRefreshableVersion="3" recordCount="100" xr:uid="{96304D51-0FDD-46C2-9C6C-339EC964AC07}">
  <cacheSource type="worksheet">
    <worksheetSource name="الجدول2"/>
  </cacheSource>
  <cacheFields count="16">
    <cacheField name="م" numFmtId="0">
      <sharedItems/>
    </cacheField>
    <cacheField name="اسم العميل" numFmtId="0">
      <sharedItems containsNonDate="0" containsString="0" containsBlank="1"/>
    </cacheField>
    <cacheField name="رقم الجواز" numFmtId="0">
      <sharedItems containsNonDate="0" containsString="0" containsBlank="1"/>
    </cacheField>
    <cacheField name="رقم الطلب" numFmtId="0">
      <sharedItems containsNonDate="0" containsString="0" containsBlank="1"/>
    </cacheField>
    <cacheField name="رقم الجوال" numFmtId="1">
      <sharedItems containsNonDate="0" containsString="0" containsBlank="1"/>
    </cacheField>
    <cacheField name="الوكيل" numFmtId="0">
      <sharedItems containsNonDate="0" containsString="0" containsBlank="1"/>
    </cacheField>
    <cacheField name="تاريخ الاصدار" numFmtId="14">
      <sharedItems containsNonDate="0" containsDate="1" containsString="0" containsBlank="1" minDate="2020-02-11T00:00:00" maxDate="2026-03-30T00:00:00" count="3">
        <m/>
        <d v="2026-03-29T00:00:00" u="1"/>
        <d v="2020-02-11T00:00:00" u="1"/>
      </sharedItems>
    </cacheField>
    <cacheField name="نوع التاشيرة" numFmtId="49">
      <sharedItems containsNonDate="0" containsBlank="1" count="6">
        <m/>
        <s v="زيارة" u="1"/>
        <s v="دراسة" u="1"/>
        <s v="علاج" u="1"/>
        <s v="عمل" u="1"/>
        <s v="سياحة" u="1"/>
      </sharedItems>
    </cacheField>
    <cacheField name="جهة الاصدار" numFmtId="0">
      <sharedItems containsNonDate="0" containsString="0" containsBlank="1"/>
    </cacheField>
    <cacheField name="سعرالشراء" numFmtId="0">
      <sharedItems containsNonDate="0" containsString="0" containsBlank="1"/>
    </cacheField>
    <cacheField name="سعر البيع" numFmtId="0">
      <sharedItems containsNonDate="0" containsString="0" containsBlank="1"/>
    </cacheField>
    <cacheField name=" المستلم من العميل" numFmtId="0">
      <sharedItems containsNonDate="0" containsString="0" containsBlank="1"/>
    </cacheField>
    <cacheField name=" الباقي على العميل" numFmtId="1">
      <sharedItems containsSemiMixedTypes="0" containsString="0" containsNumber="1" containsInteger="1" minValue="0" maxValue="0"/>
    </cacheField>
    <cacheField name=" المحول للوكيل" numFmtId="0">
      <sharedItems containsNonDate="0" containsString="0" containsBlank="1"/>
    </cacheField>
    <cacheField name=" الباقي للوكيل " numFmtId="1">
      <sharedItems containsSemiMixedTypes="0" containsString="0" containsNumber="1" containsInteger="1" minValue="0" maxValue="0"/>
    </cacheField>
    <cacheField name="الربح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98898019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  <r>
    <s v=""/>
    <m/>
    <m/>
    <m/>
    <m/>
    <m/>
    <x v="0"/>
    <x v="0"/>
    <m/>
    <m/>
    <m/>
    <m/>
    <n v="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4BBBD9-0AA7-46FA-AB1A-31C87F8C20E5}" name="PivotTable8" cacheId="0" applyNumberFormats="0" applyBorderFormats="0" applyFontFormats="0" applyPatternFormats="0" applyAlignmentFormats="0" applyWidthHeightFormats="1" dataCaption="القيم" updatedVersion="7" minRefreshableVersion="3" useAutoFormatting="1" itemPrintTitles="1" createdVersion="7" indent="0" outline="1" outlineData="1" multipleFieldFilters="0" chartFormat="2">
  <location ref="B21:C22" firstHeaderRow="1" firstDataRow="1" firstDataCol="1" rowPageCount="1" colPageCount="1"/>
  <pivotFields count="16">
    <pivotField showAll="0"/>
    <pivotField showAll="0"/>
    <pivotField showAll="0"/>
    <pivotField showAll="0"/>
    <pivotField showAll="0"/>
    <pivotField showAll="0"/>
    <pivotField axis="axisPage" showAll="0">
      <items count="4">
        <item m="1" x="2"/>
        <item x="0"/>
        <item m="1" x="1"/>
        <item t="default"/>
      </items>
    </pivotField>
    <pivotField axis="axisRow" dataField="1" multipleItemSelectionAllowed="1" showAll="0">
      <items count="7">
        <item m="1" x="2"/>
        <item m="1" x="1"/>
        <item m="1" x="5"/>
        <item m="1" x="3"/>
        <item m="1" x="4"/>
        <item h="1" x="0"/>
        <item t="default"/>
      </items>
    </pivotField>
    <pivotField showAll="0"/>
    <pivotField showAll="0"/>
    <pivotField showAll="0"/>
    <pivotField showAll="0"/>
    <pivotField numFmtId="1" showAll="0"/>
    <pivotField showAll="0"/>
    <pivotField numFmtId="1" showAll="0"/>
    <pivotField showAll="0"/>
  </pivotFields>
  <rowFields count="1">
    <field x="7"/>
  </rowFields>
  <rowItems count="1">
    <i t="grand">
      <x/>
    </i>
  </rowItems>
  <colItems count="1">
    <i/>
  </colItems>
  <pageFields count="1">
    <pageField fld="6" hier="-1"/>
  </pageFields>
  <dataFields count="1">
    <dataField name="عدد من نوع التاشيرة" fld="7" subtotal="count" baseField="0" baseItem="0"/>
  </dataFields>
  <formats count="6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7" type="button" dataOnly="0" labelOnly="1" outline="0" axis="axisRow" fieldPosition="0"/>
    </format>
    <format dxfId="28">
      <pivotArea dataOnly="0" labelOnly="1" fieldPosition="0">
        <references count="1">
          <reference field="7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29D86-A33E-4498-AF31-E9B56DAD37B5}" name="PivotTable1" cacheId="0" dataPosition="0" applyNumberFormats="0" applyBorderFormats="0" applyFontFormats="0" applyPatternFormats="0" applyAlignmentFormats="0" applyWidthHeightFormats="1" dataCaption="القيم" updatedVersion="7" minRefreshableVersion="3" useAutoFormatting="1" itemPrintTitles="1" createdVersion="7" indent="0" outline="1" outlineData="1" multipleFieldFilters="0" chartFormat="2">
  <location ref="K20:M21" firstHeaderRow="0" firstDataRow="1" firstDataCol="0" rowPageCount="1" colPageCount="1"/>
  <pivotFields count="16"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4">
        <item x="0"/>
        <item m="1" x="2"/>
        <item m="1" x="1"/>
        <item t="default"/>
      </items>
    </pivotField>
    <pivotField multipleItemSelectionAllowed="1" showAll="0"/>
    <pivotField showAll="0"/>
    <pivotField showAll="0"/>
    <pivotField showAll="0"/>
    <pivotField showAll="0"/>
    <pivotField dataField="1" numFmtId="1" showAll="0"/>
    <pivotField showAll="0"/>
    <pivotField dataField="1" numFmtI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مجموع من  الباقي على العميل" fld="12" baseField="0" baseItem="0"/>
    <dataField name="مجموع من  الباقي للوكيل " fld="14" baseField="0" baseItem="0"/>
    <dataField name="مجموع من الربح" fld="15" baseField="0" baseItem="0"/>
  </dataFields>
  <formats count="9">
    <format dxfId="40">
      <pivotArea type="all" dataOnly="0" outline="0" fieldPosition="0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5A395D-AADB-4D85-BB87-E473AD6E214D}" name="الجدول1" displayName="الجدول1" ref="A11:M211" headerRowDxfId="105" dataDxfId="104" totalsRowDxfId="103">
  <autoFilter ref="A11:M211" xr:uid="{CE5A395D-AADB-4D85-BB87-E473AD6E214D}"/>
  <tableColumns count="13">
    <tableColumn id="1" xr3:uid="{7AD73EB0-4B59-4F2A-A15C-1A64017E72E3}" name="م" totalsRowLabel="الإجمالي" dataDxfId="102" totalsRowDxfId="101">
      <calculatedColumnFormula>IF(الجدول1[[#This Row],[اسم العميل]]="", "", ROWS($A$12:الجدول1[[#This Row],[اسم العميل]]))</calculatedColumnFormula>
    </tableColumn>
    <tableColumn id="2" xr3:uid="{42B17630-CAD4-4A1A-B6C4-9B84FD7A9ECB}" name="اسم العميل" dataDxfId="100" totalsRowDxfId="99"/>
    <tableColumn id="3" xr3:uid="{660ED038-EC36-49A3-B37C-31BE96250EEA}" name="رقم الجواز" dataDxfId="98" totalsRowDxfId="97"/>
    <tableColumn id="4" xr3:uid="{F0793500-5241-4715-A25B-9F6912D6D9AD}" name="رقم الجوال" dataDxfId="96" totalsRowDxfId="95"/>
    <tableColumn id="5" xr3:uid="{EC6E35A3-BBC3-401E-8A4E-B8A21DF9B182}" name="الوكيل" dataDxfId="94" totalsRowDxfId="93"/>
    <tableColumn id="7" xr3:uid="{3711AB50-B5E1-49C1-9AAF-501D7AC377F0}" name="تاريخ الاصدار" dataDxfId="92" totalsRowDxfId="91"/>
    <tableColumn id="8" xr3:uid="{86A9784E-7D06-4F29-A04C-75923F02C8B0}" name="مدة الاقامة" dataDxfId="90" totalsRowDxfId="89">
      <calculatedColumnFormula>IF(F12="","",MIN(90,TODAY()-F12))</calculatedColumnFormula>
    </tableColumn>
    <tableColumn id="13" xr3:uid="{DC839434-33A7-4B00-827A-3DDA22DDCEF4}" name="جهة الاصدار" dataDxfId="88" totalsRowDxfId="87"/>
    <tableColumn id="9" xr3:uid="{86571D52-2C87-4310-9ABC-B9F50903F264}" name="سعر الشراء " dataDxfId="86" totalsRowDxfId="85"/>
    <tableColumn id="10" xr3:uid="{CE4E65AB-B2BF-46E6-AEC4-59A161EF379C}" name="سعر البيع " dataDxfId="84" totalsRowDxfId="83"/>
    <tableColumn id="11" xr3:uid="{A1996F8A-506F-4DA0-BB5A-4691CA5E7B31}" name="الربح" dataDxfId="82" totalsRowDxfId="81">
      <calculatedColumnFormula>IF(J12="", "", J12-I12)</calculatedColumnFormula>
    </tableColumn>
    <tableColumn id="6" xr3:uid="{1803A33A-F878-4920-989F-97CDC0FA0B67}" name="حالة الارسال" dataDxfId="80" totalsRowDxfId="79"/>
    <tableColumn id="12" xr3:uid="{8F03CBF7-FE0F-4C1F-8A9C-86C7954D0A2A}" name="الحالة" totalsRowFunction="count" dataDxfId="78" totalsRowDxfId="77">
      <calculatedColumnFormula>IF(L12="تم الإرسال", "✅ تم الإرسال بنجاح", IF(OR(G12="", G12&lt;80), "", HYPERLINK("https://wa.me/" &amp; D12 &amp; "?text=عزيزنا " &amp; B12 &amp; "، نود تنبيهكم أن مدة تأشيرة العمرة أوشكت على الانتهاء، المتبقي لكم " &amp; (90-G12) &amp; " يوم فقط. نسأل الله تقبل عمرتكم. دمتم بخير - " &amp; E12, "إرسال رسالة")))</calculatedColumnFormula>
    </tableColumn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4A6DD6-D25A-48CC-8E55-83C62F36944A}" name="الجدول2" displayName="الجدول2" ref="A11:P312" headerRowDxfId="76" dataDxfId="75" totalsRowDxfId="73" tableBorderDxfId="74">
  <autoFilter ref="A11:P312" xr:uid="{BB4A6DD6-D25A-48CC-8E55-83C62F36944A}"/>
  <tableColumns count="16">
    <tableColumn id="1" xr3:uid="{D6F07DE6-FFD2-4D1C-908D-AD23C9E01793}" name="م" totalsRowLabel="الإجمالي" dataDxfId="72" totalsRowDxfId="71">
      <calculatedColumnFormula>IF(B12&lt;&gt;"", ROWS($A$12:A12), "")</calculatedColumnFormula>
    </tableColumn>
    <tableColumn id="2" xr3:uid="{D122D7D1-5763-4716-95BF-464B9898BBC9}" name="اسم العميل" dataDxfId="70" totalsRowDxfId="69"/>
    <tableColumn id="3" xr3:uid="{29004154-8FE7-4034-96BB-CC266BBD7B7F}" name="رقم الجواز" dataDxfId="68" totalsRowDxfId="67"/>
    <tableColumn id="16" xr3:uid="{AE91E39D-57DA-448C-A3D8-73F0FD9869E0}" name="رقم الطلب" dataDxfId="66" totalsRowDxfId="65"/>
    <tableColumn id="4" xr3:uid="{680A2ED2-FE1A-4B3F-9C43-501261A4C81E}" name="رقم الجوال" dataDxfId="64" totalsRowDxfId="63"/>
    <tableColumn id="5" xr3:uid="{4B1F8E6B-A82B-423C-95B9-646F203EAC3B}" name="الوكيل" dataDxfId="62" totalsRowDxfId="61"/>
    <tableColumn id="15" xr3:uid="{03DC19BB-B956-4101-AB03-C79B5F7E5FCA}" name="تاريخ الاصدار" dataDxfId="60" totalsRowDxfId="59"/>
    <tableColumn id="6" xr3:uid="{C85DC405-D5C3-4EDC-B4ED-35252BD71DED}" name="نوع التاشيرة" dataDxfId="58" totalsRowDxfId="57"/>
    <tableColumn id="7" xr3:uid="{1AF9E70C-B23A-4E69-B0F9-256860DD6EFC}" name="جهة الاصدار" dataDxfId="56" totalsRowDxfId="55"/>
    <tableColumn id="8" xr3:uid="{96D00C13-C2B6-4C35-90E2-ACFB93CDEF1A}" name="سعرالشراء" dataDxfId="54" totalsRowDxfId="53"/>
    <tableColumn id="9" xr3:uid="{BCB8052B-2577-4D09-B756-E3E20578652E}" name="سعر البيع" dataDxfId="52" totalsRowDxfId="51"/>
    <tableColumn id="10" xr3:uid="{17FAB67A-ECD9-4ECF-A7F3-AF4D3B08EC60}" name=" المستلم من العميل" dataDxfId="50" totalsRowDxfId="49"/>
    <tableColumn id="11" xr3:uid="{5469BA51-4BC9-4D43-BEEF-5BDD4903C177}" name=" الباقي على العميل" dataDxfId="48" totalsRowDxfId="47">
      <calculatedColumnFormula>الجدول2[[#This Row],[سعر البيع]]-الجدول2[[#This Row],[ المستلم من العميل]]</calculatedColumnFormula>
    </tableColumn>
    <tableColumn id="12" xr3:uid="{D1B669D6-09C6-4680-A19F-FCA4692050BB}" name=" المحول للوكيل" dataDxfId="46" totalsRowDxfId="45"/>
    <tableColumn id="13" xr3:uid="{1822CAFA-67DC-4CDB-8D02-7B886EE79D2F}" name=" الباقي للوكيل " dataDxfId="44" totalsRowDxfId="43">
      <calculatedColumnFormula>الجدول2[[#This Row],[سعرالشراء]]-N12</calculatedColumnFormula>
    </tableColumn>
    <tableColumn id="14" xr3:uid="{589BF9EE-CBAC-4411-B286-03F7E6A26E63}" name="الربح" totalsRowFunction="count" dataDxfId="42" totalsRowDxfId="41">
      <calculatedColumnFormula>الجدول2[[#This Row],[سعر البيع]]-الجدول2[[#This Row],[سعرالشراء]]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88F9A04-258A-4823-8BA4-51B6FCAB90BE}" name="الجدول3" displayName="الجدول3" ref="B11:O305" totalsRowShown="0" headerRowDxfId="25" dataDxfId="23" headerRowBorderDxfId="24">
  <autoFilter ref="B11:O305" xr:uid="{488F9A04-258A-4823-8BA4-51B6FCAB90BE}"/>
  <tableColumns count="14">
    <tableColumn id="3" xr3:uid="{9EBA7BDA-49B8-4C61-8A17-6AD0333ADE53}" name="اسم العميل" dataDxfId="22"/>
    <tableColumn id="4" xr3:uid="{46E46C26-8279-473D-95FE-1A37CFFBFA56}" name="رقم الجواز" dataDxfId="21"/>
    <tableColumn id="5" xr3:uid="{27687D78-F3C1-4701-9F17-3C0FB90A816B}" name="رقم الجوال " dataDxfId="20"/>
    <tableColumn id="6" xr3:uid="{8508A469-FC52-4C92-A96B-5083F578ADC2}" name="تاريخ الاصدار" dataDxfId="19"/>
    <tableColumn id="7" xr3:uid="{3DE75E63-27E4-419C-B38A-601311B3F94D}" name="نوع التاشيرة" dataDxfId="18"/>
    <tableColumn id="8" xr3:uid="{E1A17305-C830-4A65-A2E6-AC06944E6BF9}" name="الوكيل " dataDxfId="17"/>
    <tableColumn id="9" xr3:uid="{3969259F-53DB-44DE-8B76-5142BB423201}" name="جهة الاصدار " dataDxfId="16"/>
    <tableColumn id="10" xr3:uid="{0134A70B-24D4-4175-8A40-F04F2987C339}" name="سعر الشراء" dataDxfId="15"/>
    <tableColumn id="11" xr3:uid="{ED859AFE-63A9-4A90-BCD5-A263307ADEC4}" name="سعر البيع " dataDxfId="14"/>
    <tableColumn id="2" xr3:uid="{A2988B31-E73D-4004-AAC7-AD817BC7E2D6}" name="المستلم من العميل" dataDxfId="13"/>
    <tableColumn id="12" xr3:uid="{AE6278D3-2ADC-4B5F-BB6E-868D108245BD}" name="الباقي على العميل" dataDxfId="12"/>
    <tableColumn id="13" xr3:uid="{50871127-A0B1-4B49-9796-7DC341852045}" name="المحول للوكيل " dataDxfId="11"/>
    <tableColumn id="14" xr3:uid="{BCD78DFA-72B1-4A60-AC0A-C8E10CA837DD}" name="الباقي للوكيل " dataDxfId="10"/>
    <tableColumn id="15" xr3:uid="{48D60EF1-3A96-4572-972B-8A9CE6110B15}" name="الربح" dataDxfId="9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F479C5-6868-4772-9379-63D5C81D8FD9}" name="الجدول4" displayName="الجدول4" ref="B13:E21" totalsRowShown="0" headerRowDxfId="8" dataDxfId="6" headerRowBorderDxfId="7" tableBorderDxfId="5" totalsRowBorderDxfId="4">
  <autoFilter ref="B13:E21" xr:uid="{A8F479C5-6868-4772-9379-63D5C81D8FD9}">
    <filterColumn colId="0" hiddenButton="1"/>
    <filterColumn colId="1" hiddenButton="1"/>
    <filterColumn colId="2" hiddenButton="1"/>
    <filterColumn colId="3" hiddenButton="1"/>
  </autoFilter>
  <tableColumns count="4">
    <tableColumn id="1" xr3:uid="{FF658AEA-94AF-4656-80BF-9AE83BE3F42B}" name=" الحركة" dataDxfId="3"/>
    <tableColumn id="2" xr3:uid="{AA302DBC-B951-41F8-964A-B02CC7AD1848}" name="التفاصـــــــــيل" dataDxfId="2"/>
    <tableColumn id="3" xr3:uid="{AA87DB10-5E6B-426E-B424-E1D40092ECB9}" name="المدفوع" dataDxfId="1"/>
    <tableColumn id="4" xr3:uid="{24682B2C-C67C-4619-B519-B67347C5EE7B}" name="المتبقي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D4063-2484-44C1-B915-74A9091054EA}">
  <sheetPr codeName="ورقة5"/>
  <dimension ref="A29:N33"/>
  <sheetViews>
    <sheetView showGridLines="0" showRowColHeaders="0" rightToLeft="1" zoomScaleNormal="100" workbookViewId="0">
      <selection activeCell="C9" sqref="C9"/>
    </sheetView>
  </sheetViews>
  <sheetFormatPr defaultRowHeight="14" x14ac:dyDescent="0.3"/>
  <sheetData>
    <row r="29" spans="1:14" x14ac:dyDescent="0.3">
      <c r="E29" s="153" t="s">
        <v>20</v>
      </c>
      <c r="F29" s="153"/>
      <c r="G29" s="153"/>
      <c r="K29" s="153" t="s">
        <v>19</v>
      </c>
      <c r="L29" s="153"/>
      <c r="M29" s="153"/>
      <c r="N29" s="153"/>
    </row>
    <row r="30" spans="1:14" x14ac:dyDescent="0.3">
      <c r="A30" s="16"/>
      <c r="B30" s="16"/>
      <c r="C30" s="16"/>
      <c r="D30" s="16"/>
      <c r="E30" s="16"/>
    </row>
    <row r="33" spans="7:11" x14ac:dyDescent="0.3">
      <c r="G33" s="154" t="s">
        <v>27</v>
      </c>
      <c r="H33" s="154"/>
      <c r="I33" s="154"/>
      <c r="J33" s="154"/>
      <c r="K33" s="154"/>
    </row>
  </sheetData>
  <sheetProtection algorithmName="SHA-512" hashValue="KKPNxJh2gU9NkRRmJf9MJeZ43kwv3KVules5kacqCmlUgttt1uAn2nJocpSZYav9qQxjzvZ2wzl2wFQW70ONfA==" saltValue="JJlHQV1RFdx48l2tGlzS0A==" spinCount="100000" sheet="1" objects="1" selectLockedCells="1" selectUnlockedCells="1"/>
  <mergeCells count="3">
    <mergeCell ref="K29:N29"/>
    <mergeCell ref="E29:G29"/>
    <mergeCell ref="G33:K3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54A2-7FF0-47F5-B837-C19FDF9EF821}">
  <sheetPr codeName="ورقة1"/>
  <dimension ref="A1:Z212"/>
  <sheetViews>
    <sheetView rightToLeft="1" tabSelected="1" zoomScaleNormal="100" workbookViewId="0">
      <selection sqref="A1:M2"/>
    </sheetView>
  </sheetViews>
  <sheetFormatPr defaultRowHeight="21" customHeight="1" x14ac:dyDescent="0.3"/>
  <cols>
    <col min="1" max="1" width="3.58203125" style="1" customWidth="1"/>
    <col min="2" max="2" width="31.08203125" style="1" customWidth="1"/>
    <col min="3" max="3" width="14.1640625" style="1" customWidth="1"/>
    <col min="4" max="4" width="15.58203125" style="2" customWidth="1"/>
    <col min="5" max="5" width="14.08203125" style="1" customWidth="1"/>
    <col min="6" max="6" width="12.58203125" style="3" customWidth="1"/>
    <col min="7" max="7" width="9.58203125" style="69" customWidth="1"/>
    <col min="8" max="8" width="14.1640625" style="1" customWidth="1"/>
    <col min="9" max="9" width="10.08203125" style="1" customWidth="1"/>
    <col min="10" max="11" width="9.58203125" style="1" customWidth="1"/>
    <col min="12" max="12" width="9.9140625" style="47" customWidth="1"/>
    <col min="13" max="15" width="8.6640625" style="1"/>
    <col min="16" max="19" width="8.6640625" style="1" customWidth="1"/>
    <col min="20" max="20" width="15.75" style="1" customWidth="1"/>
    <col min="21" max="21" width="8.6640625" style="1" customWidth="1"/>
    <col min="22" max="22" width="8.6640625" style="1"/>
    <col min="23" max="25" width="12.08203125" style="1" customWidth="1"/>
    <col min="26" max="16384" width="8.6640625" style="1"/>
  </cols>
  <sheetData>
    <row r="1" spans="1:26" ht="21" customHeight="1" x14ac:dyDescent="0.3">
      <c r="A1" s="156" t="s">
        <v>29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</row>
    <row r="2" spans="1:26" ht="21" customHeight="1" x14ac:dyDescent="0.3">
      <c r="A2" s="156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</row>
    <row r="3" spans="1:26" ht="21" customHeight="1" thickBot="1" x14ac:dyDescent="0.35">
      <c r="A3" s="79"/>
      <c r="B3" s="79"/>
      <c r="C3" s="79"/>
      <c r="D3" s="79"/>
      <c r="E3" s="79"/>
      <c r="F3" s="80"/>
      <c r="G3" s="81"/>
      <c r="H3" s="79"/>
      <c r="I3" s="82"/>
      <c r="J3" s="157" t="s">
        <v>15</v>
      </c>
      <c r="K3" s="158"/>
      <c r="L3" s="158"/>
      <c r="M3" s="158"/>
    </row>
    <row r="4" spans="1:26" ht="21" customHeight="1" thickTop="1" thickBot="1" x14ac:dyDescent="0.35">
      <c r="A4" s="82"/>
      <c r="B4" s="83" t="s">
        <v>9</v>
      </c>
      <c r="C4" s="64">
        <f ca="1">COUNTIF(G11:G1106, "&lt;90")</f>
        <v>0</v>
      </c>
      <c r="D4" s="84"/>
      <c r="E4" s="79"/>
      <c r="F4" s="80"/>
      <c r="G4" s="81"/>
      <c r="H4" s="79"/>
      <c r="I4" s="155" t="str">
        <f>HYPERLINK("https://wa.me/967771436479","للدعم الفني اضغط هنا")</f>
        <v>للدعم الفني اضغط هنا</v>
      </c>
      <c r="J4" s="155"/>
      <c r="K4" s="155"/>
      <c r="L4" s="155"/>
      <c r="M4" s="155"/>
    </row>
    <row r="5" spans="1:26" ht="21" customHeight="1" thickTop="1" thickBot="1" x14ac:dyDescent="0.35">
      <c r="A5" s="79"/>
      <c r="B5" s="85" t="s">
        <v>10</v>
      </c>
      <c r="C5" s="65">
        <f ca="1">COUNTIF(G11:G1106, "&gt;=90")</f>
        <v>0</v>
      </c>
      <c r="D5" s="84"/>
      <c r="E5" s="79"/>
      <c r="F5" s="80"/>
      <c r="G5" s="81"/>
      <c r="H5" s="79"/>
      <c r="I5" s="79"/>
      <c r="J5" s="79"/>
      <c r="K5" s="79"/>
      <c r="L5" s="86"/>
      <c r="M5" s="79"/>
    </row>
    <row r="6" spans="1:26" ht="21" customHeight="1" thickTop="1" x14ac:dyDescent="0.3">
      <c r="A6" s="79"/>
      <c r="B6" s="79"/>
      <c r="C6" s="79"/>
      <c r="D6" s="84"/>
      <c r="E6" s="79"/>
      <c r="F6" s="80"/>
      <c r="G6" s="81"/>
      <c r="H6" s="79"/>
      <c r="I6" s="79"/>
      <c r="J6" s="79"/>
      <c r="K6" s="79"/>
      <c r="L6" s="86"/>
      <c r="M6" s="79"/>
    </row>
    <row r="7" spans="1:26" ht="21" customHeight="1" x14ac:dyDescent="0.3">
      <c r="A7" s="79"/>
      <c r="B7" s="79"/>
      <c r="C7" s="79"/>
      <c r="D7" s="84"/>
      <c r="E7" s="79"/>
      <c r="F7" s="80"/>
      <c r="G7" s="81"/>
      <c r="H7" s="79"/>
      <c r="I7" s="79"/>
      <c r="J7" s="79"/>
      <c r="K7" s="79"/>
      <c r="L7" s="86"/>
      <c r="M7" s="79"/>
      <c r="T7" s="1">
        <f>SUMIFS($I$11:$I$1106, $F$11:$F$1106, "&gt;="&amp;DATE(2026, W13, 1), $F$11:$F$1106, "&lt;="&amp;EOMONTH(DATE(2026, W13, 1), 0))</f>
        <v>0</v>
      </c>
    </row>
    <row r="8" spans="1:26" ht="21" customHeight="1" thickBot="1" x14ac:dyDescent="0.35">
      <c r="A8" s="79"/>
      <c r="B8" s="79"/>
      <c r="C8" s="79"/>
      <c r="D8" s="84"/>
      <c r="E8" s="79"/>
      <c r="F8" s="80"/>
      <c r="G8" s="81"/>
      <c r="H8" s="79"/>
      <c r="I8" s="79"/>
      <c r="J8" s="79"/>
      <c r="K8" s="79"/>
      <c r="L8" s="86"/>
      <c r="M8" s="79"/>
    </row>
    <row r="9" spans="1:26" ht="21" customHeight="1" thickTop="1" thickBot="1" x14ac:dyDescent="0.35">
      <c r="A9" s="79" t="s">
        <v>18</v>
      </c>
      <c r="B9" s="53"/>
      <c r="C9" s="82"/>
      <c r="D9" s="82"/>
      <c r="E9" s="82"/>
      <c r="F9" s="87"/>
      <c r="G9" s="81"/>
      <c r="H9" s="79"/>
      <c r="I9" s="79"/>
      <c r="J9" s="79"/>
      <c r="K9" s="79"/>
      <c r="L9" s="86"/>
      <c r="M9" s="79"/>
    </row>
    <row r="10" spans="1:26" ht="21" customHeight="1" thickTop="1" x14ac:dyDescent="0.3">
      <c r="A10" s="79"/>
      <c r="B10" s="79"/>
      <c r="C10" s="79"/>
      <c r="D10" s="84"/>
      <c r="E10" s="79"/>
      <c r="F10" s="80"/>
      <c r="G10" s="81"/>
      <c r="H10" s="79"/>
      <c r="I10" s="79"/>
      <c r="J10" s="79"/>
      <c r="K10" s="79"/>
      <c r="L10" s="86"/>
      <c r="M10" s="79"/>
    </row>
    <row r="11" spans="1:26" ht="21" customHeight="1" thickBot="1" x14ac:dyDescent="0.35">
      <c r="A11" s="1" t="s">
        <v>0</v>
      </c>
      <c r="B11" s="1" t="s">
        <v>1</v>
      </c>
      <c r="C11" s="1" t="s">
        <v>4</v>
      </c>
      <c r="D11" s="2" t="s">
        <v>5</v>
      </c>
      <c r="E11" s="1" t="s">
        <v>8</v>
      </c>
      <c r="F11" s="3" t="s">
        <v>33</v>
      </c>
      <c r="G11" s="69" t="s">
        <v>34</v>
      </c>
      <c r="H11" s="1" t="s">
        <v>38</v>
      </c>
      <c r="I11" s="1" t="s">
        <v>42</v>
      </c>
      <c r="J11" s="1" t="s">
        <v>2</v>
      </c>
      <c r="K11" s="1" t="s">
        <v>6</v>
      </c>
      <c r="L11" s="86" t="s">
        <v>43</v>
      </c>
      <c r="M11" s="63" t="s">
        <v>3</v>
      </c>
    </row>
    <row r="12" spans="1:26" ht="21" customHeight="1" thickTop="1" thickBot="1" x14ac:dyDescent="0.35">
      <c r="A12" s="5" t="str">
        <f>IF(الجدول1[[#This Row],[اسم العميل]]="", "", ROWS($A$12:الجدول1[[#This Row],[اسم العميل]]))</f>
        <v/>
      </c>
      <c r="B12" s="6"/>
      <c r="C12" s="6"/>
      <c r="D12" s="7"/>
      <c r="E12" s="6"/>
      <c r="F12" s="8"/>
      <c r="G12" s="19" t="str">
        <f t="shared" ref="G12:G43" ca="1" si="0">IF(F12="","",MIN(90,TODAY()-F12))</f>
        <v/>
      </c>
      <c r="H12" s="6"/>
      <c r="I12" s="6"/>
      <c r="J12" s="6"/>
      <c r="K12" s="54" t="str">
        <f t="shared" ref="K12:K43" si="1">IF(J12="", "", J12-I12)</f>
        <v/>
      </c>
      <c r="L12" s="89"/>
      <c r="M12" s="9" t="str">
        <f ca="1">IF(L12="تم الإرسال", "✅ تم الإرسال بنجاح", IF(OR(G12="", G12&lt;80), "", HYPERLINK("https://wa.me/" &amp; D12 &amp; "?text=عزيزنا " &amp; B12 &amp; "، نود تنبيهكم أن مدة تأشيرة العمرة أوشكت على الانتهاء، المتبقي لكم " &amp; (90-G12) &amp; " يوم فقط. نسأل الله تقبل عمرتكم. دمتم بخير - " &amp; E12, "إرسال رسالة")))</f>
        <v/>
      </c>
      <c r="N12" s="73"/>
      <c r="W12" s="71" t="s">
        <v>11</v>
      </c>
      <c r="X12" s="74" t="s">
        <v>12</v>
      </c>
      <c r="Y12" s="74" t="s">
        <v>13</v>
      </c>
      <c r="Z12" s="72" t="s">
        <v>14</v>
      </c>
    </row>
    <row r="13" spans="1:26" ht="21" customHeight="1" thickTop="1" thickBot="1" x14ac:dyDescent="0.35">
      <c r="A13" s="10" t="str">
        <f>IF(الجدول1[[#This Row],[اسم العميل]]="", "", ROWS($A$12:الجدول1[[#This Row],[اسم العميل]]))</f>
        <v/>
      </c>
      <c r="B13" s="4"/>
      <c r="C13" s="4"/>
      <c r="D13" s="11"/>
      <c r="E13" s="4"/>
      <c r="F13" s="12"/>
      <c r="G13" s="15" t="str">
        <f t="shared" ca="1" si="0"/>
        <v/>
      </c>
      <c r="H13" s="4"/>
      <c r="I13" s="4"/>
      <c r="J13" s="4"/>
      <c r="K13" s="55" t="str">
        <f t="shared" si="1"/>
        <v/>
      </c>
      <c r="L13" s="90"/>
      <c r="M13" s="48" t="str">
        <f t="shared" ref="M13:M43" ca="1" si="2">IF(L13="تم الإرسال", "✅ تم الإرسال بنجاح", IF(OR(G13="", G13&lt;80), "", HYPERLINK("https://wa.me/" &amp; D13 &amp; "?text=عزيزنا " &amp; B13 &amp; "، نود تنبيهكم أن مدة تأشيرة العمرة أوشكت على الانتهاء، المتبقي لكم " &amp; (90-G13) &amp; " يوم فقط. نسأل الله تقبل عمرتكم. دمتم بخير - " &amp; E13, "إرسال رسالة")))</f>
        <v/>
      </c>
      <c r="N13" s="73"/>
      <c r="W13" s="75">
        <v>1</v>
      </c>
      <c r="X13" s="76">
        <f t="shared" ref="X13:X24" si="3">SUMIFS($I$11:$I$1106, $F$11:$F$1106, "&gt;="&amp;DATE(2026, W13, 1), $F$11:$F$1106, "&lt;="&amp;EOMONTH(DATE(2026, W13, 1), 0))</f>
        <v>0</v>
      </c>
      <c r="Y13" s="76">
        <f t="shared" ref="Y13:Y24" si="4">SUMIFS($J$11:$J$1106, $F$11:$F$1106, "&gt;="&amp;DATE(2026, W13, 1), $F$11:$F$1106, "&lt;="&amp;EOMONTH(DATE(2026, W13, 1), 0))</f>
        <v>0</v>
      </c>
      <c r="Z13" s="77">
        <f t="shared" ref="Z13:Z24" si="5">SUMIFS($K$11:$K$1106, $F$11:$F$1106, "&gt;="&amp;DATE(2026, W13, 1), $F$11:$F$1106, "&lt;="&amp;EOMONTH(DATE(2026, W13, 1), 0))</f>
        <v>0</v>
      </c>
    </row>
    <row r="14" spans="1:26" ht="21" customHeight="1" thickTop="1" thickBot="1" x14ac:dyDescent="0.35">
      <c r="A14" s="10" t="str">
        <f>IF(الجدول1[[#This Row],[اسم العميل]]="", "", ROWS($A$12:الجدول1[[#This Row],[اسم العميل]]))</f>
        <v/>
      </c>
      <c r="B14" s="4"/>
      <c r="C14" s="4"/>
      <c r="D14" s="11"/>
      <c r="E14" s="4"/>
      <c r="F14" s="12"/>
      <c r="G14" s="15" t="str">
        <f t="shared" ca="1" si="0"/>
        <v/>
      </c>
      <c r="H14" s="4"/>
      <c r="I14" s="4"/>
      <c r="J14" s="4"/>
      <c r="K14" s="55" t="str">
        <f t="shared" si="1"/>
        <v/>
      </c>
      <c r="L14" s="90"/>
      <c r="M14" s="48" t="str">
        <f t="shared" ca="1" si="2"/>
        <v/>
      </c>
      <c r="N14" s="73"/>
      <c r="W14" s="75">
        <v>2</v>
      </c>
      <c r="X14" s="76">
        <f t="shared" si="3"/>
        <v>0</v>
      </c>
      <c r="Y14" s="76">
        <f t="shared" si="4"/>
        <v>0</v>
      </c>
      <c r="Z14" s="77">
        <f t="shared" si="5"/>
        <v>0</v>
      </c>
    </row>
    <row r="15" spans="1:26" ht="21" customHeight="1" thickTop="1" thickBot="1" x14ac:dyDescent="0.35">
      <c r="A15" s="10" t="str">
        <f>IF(الجدول1[[#This Row],[اسم العميل]]="", "", ROWS($A$12:الجدول1[[#This Row],[اسم العميل]]))</f>
        <v/>
      </c>
      <c r="B15" s="4"/>
      <c r="C15" s="4"/>
      <c r="D15" s="11"/>
      <c r="E15" s="4"/>
      <c r="F15" s="12"/>
      <c r="G15" s="15" t="str">
        <f ca="1">IF(F15="","",MIN(90,TODAY()-F15))</f>
        <v/>
      </c>
      <c r="H15" s="4" t="s">
        <v>7</v>
      </c>
      <c r="I15" s="4"/>
      <c r="J15" s="4"/>
      <c r="K15" s="55" t="str">
        <f t="shared" si="1"/>
        <v/>
      </c>
      <c r="L15" s="90"/>
      <c r="M15" s="48" t="str">
        <f t="shared" ca="1" si="2"/>
        <v/>
      </c>
      <c r="N15" s="73"/>
      <c r="W15" s="75">
        <v>3</v>
      </c>
      <c r="X15" s="76">
        <f t="shared" si="3"/>
        <v>0</v>
      </c>
      <c r="Y15" s="76">
        <f t="shared" si="4"/>
        <v>0</v>
      </c>
      <c r="Z15" s="77">
        <f t="shared" si="5"/>
        <v>0</v>
      </c>
    </row>
    <row r="16" spans="1:26" ht="21" customHeight="1" thickTop="1" thickBot="1" x14ac:dyDescent="0.35">
      <c r="A16" s="10" t="str">
        <f>IF(الجدول1[[#This Row],[اسم العميل]]="", "", ROWS($A$12:الجدول1[[#This Row],[اسم العميل]]))</f>
        <v/>
      </c>
      <c r="B16" s="4"/>
      <c r="C16" s="4"/>
      <c r="D16" s="11"/>
      <c r="E16" s="4"/>
      <c r="F16" s="12"/>
      <c r="G16" s="15" t="str">
        <f t="shared" ca="1" si="0"/>
        <v/>
      </c>
      <c r="H16" s="4"/>
      <c r="I16" s="4"/>
      <c r="J16" s="4"/>
      <c r="K16" s="55" t="str">
        <f t="shared" si="1"/>
        <v/>
      </c>
      <c r="L16" s="90"/>
      <c r="M16" s="48" t="str">
        <f t="shared" ca="1" si="2"/>
        <v/>
      </c>
      <c r="N16" s="73"/>
      <c r="W16" s="75">
        <v>4</v>
      </c>
      <c r="X16" s="76">
        <f t="shared" si="3"/>
        <v>0</v>
      </c>
      <c r="Y16" s="76">
        <f t="shared" si="4"/>
        <v>0</v>
      </c>
      <c r="Z16" s="77">
        <f t="shared" si="5"/>
        <v>0</v>
      </c>
    </row>
    <row r="17" spans="1:26" ht="21" customHeight="1" thickTop="1" thickBot="1" x14ac:dyDescent="0.35">
      <c r="A17" s="10" t="str">
        <f>IF(الجدول1[[#This Row],[اسم العميل]]="", "", ROWS($A$12:الجدول1[[#This Row],[اسم العميل]]))</f>
        <v/>
      </c>
      <c r="B17" s="4"/>
      <c r="C17" s="4"/>
      <c r="D17" s="11"/>
      <c r="E17" s="4"/>
      <c r="F17" s="12"/>
      <c r="G17" s="15" t="str">
        <f t="shared" ca="1" si="0"/>
        <v/>
      </c>
      <c r="H17" s="4"/>
      <c r="I17" s="4"/>
      <c r="J17" s="4"/>
      <c r="K17" s="55" t="str">
        <f t="shared" si="1"/>
        <v/>
      </c>
      <c r="L17" s="90"/>
      <c r="M17" s="48" t="str">
        <f t="shared" ca="1" si="2"/>
        <v/>
      </c>
      <c r="N17" s="73"/>
      <c r="W17" s="75">
        <v>5</v>
      </c>
      <c r="X17" s="76">
        <f t="shared" si="3"/>
        <v>0</v>
      </c>
      <c r="Y17" s="76">
        <f t="shared" si="4"/>
        <v>0</v>
      </c>
      <c r="Z17" s="77">
        <f t="shared" si="5"/>
        <v>0</v>
      </c>
    </row>
    <row r="18" spans="1:26" ht="21" customHeight="1" thickTop="1" thickBot="1" x14ac:dyDescent="0.35">
      <c r="A18" s="10" t="str">
        <f>IF(الجدول1[[#This Row],[اسم العميل]]="", "", ROWS($A$12:الجدول1[[#This Row],[اسم العميل]]))</f>
        <v/>
      </c>
      <c r="B18" s="4"/>
      <c r="C18" s="4"/>
      <c r="D18" s="11"/>
      <c r="E18" s="4"/>
      <c r="F18" s="12"/>
      <c r="G18" s="15" t="str">
        <f t="shared" ca="1" si="0"/>
        <v/>
      </c>
      <c r="H18" s="4"/>
      <c r="I18" s="4"/>
      <c r="J18" s="4"/>
      <c r="K18" s="55" t="str">
        <f t="shared" si="1"/>
        <v/>
      </c>
      <c r="L18" s="90"/>
      <c r="M18" s="48" t="str">
        <f t="shared" ca="1" si="2"/>
        <v/>
      </c>
      <c r="N18" s="73"/>
      <c r="W18" s="75">
        <v>6</v>
      </c>
      <c r="X18" s="76">
        <f t="shared" si="3"/>
        <v>0</v>
      </c>
      <c r="Y18" s="76">
        <f t="shared" si="4"/>
        <v>0</v>
      </c>
      <c r="Z18" s="77">
        <f t="shared" si="5"/>
        <v>0</v>
      </c>
    </row>
    <row r="19" spans="1:26" ht="21" customHeight="1" thickTop="1" thickBot="1" x14ac:dyDescent="0.35">
      <c r="A19" s="10" t="str">
        <f>IF(الجدول1[[#This Row],[اسم العميل]]="", "", ROWS($A$12:الجدول1[[#This Row],[اسم العميل]]))</f>
        <v/>
      </c>
      <c r="B19" s="4"/>
      <c r="C19" s="4"/>
      <c r="D19" s="11"/>
      <c r="E19" s="4"/>
      <c r="F19" s="12"/>
      <c r="G19" s="15" t="str">
        <f t="shared" ca="1" si="0"/>
        <v/>
      </c>
      <c r="H19" s="4"/>
      <c r="I19" s="4"/>
      <c r="J19" s="4"/>
      <c r="K19" s="55" t="str">
        <f t="shared" si="1"/>
        <v/>
      </c>
      <c r="L19" s="90"/>
      <c r="M19" s="48" t="str">
        <f t="shared" ca="1" si="2"/>
        <v/>
      </c>
      <c r="N19" s="73"/>
      <c r="W19" s="75">
        <v>7</v>
      </c>
      <c r="X19" s="76">
        <f t="shared" si="3"/>
        <v>0</v>
      </c>
      <c r="Y19" s="76">
        <f t="shared" si="4"/>
        <v>0</v>
      </c>
      <c r="Z19" s="77">
        <f t="shared" si="5"/>
        <v>0</v>
      </c>
    </row>
    <row r="20" spans="1:26" ht="21" customHeight="1" thickTop="1" thickBot="1" x14ac:dyDescent="0.35">
      <c r="A20" s="10" t="str">
        <f>IF(الجدول1[[#This Row],[اسم العميل]]="", "", ROWS($A$12:الجدول1[[#This Row],[اسم العميل]]))</f>
        <v/>
      </c>
      <c r="B20" s="4"/>
      <c r="C20" s="4"/>
      <c r="D20" s="11"/>
      <c r="E20" s="4"/>
      <c r="F20" s="12"/>
      <c r="G20" s="15" t="str">
        <f t="shared" ca="1" si="0"/>
        <v/>
      </c>
      <c r="H20" s="4"/>
      <c r="I20" s="4"/>
      <c r="J20" s="4"/>
      <c r="K20" s="55" t="str">
        <f t="shared" si="1"/>
        <v/>
      </c>
      <c r="L20" s="90"/>
      <c r="M20" s="48" t="str">
        <f t="shared" ca="1" si="2"/>
        <v/>
      </c>
      <c r="N20" s="73"/>
      <c r="W20" s="75">
        <v>8</v>
      </c>
      <c r="X20" s="76">
        <f t="shared" si="3"/>
        <v>0</v>
      </c>
      <c r="Y20" s="76">
        <f t="shared" si="4"/>
        <v>0</v>
      </c>
      <c r="Z20" s="77">
        <f t="shared" si="5"/>
        <v>0</v>
      </c>
    </row>
    <row r="21" spans="1:26" ht="21" customHeight="1" thickTop="1" thickBot="1" x14ac:dyDescent="0.35">
      <c r="A21" s="10" t="str">
        <f>IF(الجدول1[[#This Row],[اسم العميل]]="", "", ROWS($A$12:الجدول1[[#This Row],[اسم العميل]]))</f>
        <v/>
      </c>
      <c r="B21" s="4"/>
      <c r="C21" s="4"/>
      <c r="D21" s="11"/>
      <c r="E21" s="4"/>
      <c r="F21" s="12"/>
      <c r="G21" s="15" t="str">
        <f t="shared" ca="1" si="0"/>
        <v/>
      </c>
      <c r="H21" s="4"/>
      <c r="I21" s="4"/>
      <c r="J21" s="4"/>
      <c r="K21" s="55" t="str">
        <f t="shared" si="1"/>
        <v/>
      </c>
      <c r="L21" s="90"/>
      <c r="M21" s="48" t="str">
        <f t="shared" ca="1" si="2"/>
        <v/>
      </c>
      <c r="N21" s="73"/>
      <c r="W21" s="75">
        <v>9</v>
      </c>
      <c r="X21" s="76">
        <f t="shared" si="3"/>
        <v>0</v>
      </c>
      <c r="Y21" s="76">
        <f t="shared" si="4"/>
        <v>0</v>
      </c>
      <c r="Z21" s="77">
        <f t="shared" si="5"/>
        <v>0</v>
      </c>
    </row>
    <row r="22" spans="1:26" ht="21" customHeight="1" thickTop="1" thickBot="1" x14ac:dyDescent="0.35">
      <c r="A22" s="10" t="str">
        <f>IF(الجدول1[[#This Row],[اسم العميل]]="", "", ROWS($A$12:الجدول1[[#This Row],[اسم العميل]]))</f>
        <v/>
      </c>
      <c r="B22" s="4"/>
      <c r="C22" s="4"/>
      <c r="D22" s="11"/>
      <c r="E22" s="4"/>
      <c r="F22" s="12"/>
      <c r="G22" s="15" t="str">
        <f t="shared" ca="1" si="0"/>
        <v/>
      </c>
      <c r="H22" s="4"/>
      <c r="I22" s="4"/>
      <c r="J22" s="4"/>
      <c r="K22" s="55" t="str">
        <f t="shared" si="1"/>
        <v/>
      </c>
      <c r="L22" s="90"/>
      <c r="M22" s="48" t="str">
        <f t="shared" ca="1" si="2"/>
        <v/>
      </c>
      <c r="N22" s="73"/>
      <c r="W22" s="75">
        <v>10</v>
      </c>
      <c r="X22" s="76">
        <f t="shared" si="3"/>
        <v>0</v>
      </c>
      <c r="Y22" s="76">
        <f t="shared" si="4"/>
        <v>0</v>
      </c>
      <c r="Z22" s="77">
        <f t="shared" si="5"/>
        <v>0</v>
      </c>
    </row>
    <row r="23" spans="1:26" ht="21" customHeight="1" thickTop="1" thickBot="1" x14ac:dyDescent="0.35">
      <c r="A23" s="10" t="str">
        <f>IF(الجدول1[[#This Row],[اسم العميل]]="", "", ROWS($A$12:الجدول1[[#This Row],[اسم العميل]]))</f>
        <v/>
      </c>
      <c r="B23" s="4"/>
      <c r="C23" s="4"/>
      <c r="D23" s="11"/>
      <c r="E23" s="4"/>
      <c r="F23" s="12"/>
      <c r="G23" s="15" t="str">
        <f t="shared" ca="1" si="0"/>
        <v/>
      </c>
      <c r="H23" s="4"/>
      <c r="I23" s="4"/>
      <c r="J23" s="4"/>
      <c r="K23" s="55" t="str">
        <f t="shared" si="1"/>
        <v/>
      </c>
      <c r="L23" s="90"/>
      <c r="M23" s="48" t="str">
        <f t="shared" ca="1" si="2"/>
        <v/>
      </c>
      <c r="N23" s="73"/>
      <c r="W23" s="75">
        <v>11</v>
      </c>
      <c r="X23" s="76">
        <f t="shared" si="3"/>
        <v>0</v>
      </c>
      <c r="Y23" s="76">
        <f t="shared" si="4"/>
        <v>0</v>
      </c>
      <c r="Z23" s="77">
        <f t="shared" si="5"/>
        <v>0</v>
      </c>
    </row>
    <row r="24" spans="1:26" ht="21" customHeight="1" thickTop="1" thickBot="1" x14ac:dyDescent="0.35">
      <c r="A24" s="10" t="str">
        <f>IF(الجدول1[[#This Row],[اسم العميل]]="", "", ROWS($A$12:الجدول1[[#This Row],[اسم العميل]]))</f>
        <v/>
      </c>
      <c r="B24" s="4"/>
      <c r="C24" s="4"/>
      <c r="D24" s="11"/>
      <c r="E24" s="4"/>
      <c r="F24" s="12"/>
      <c r="G24" s="15" t="str">
        <f t="shared" ca="1" si="0"/>
        <v/>
      </c>
      <c r="H24" s="4"/>
      <c r="I24" s="4"/>
      <c r="J24" s="4"/>
      <c r="K24" s="55" t="str">
        <f t="shared" si="1"/>
        <v/>
      </c>
      <c r="L24" s="90"/>
      <c r="M24" s="48" t="str">
        <f t="shared" ca="1" si="2"/>
        <v/>
      </c>
      <c r="N24" s="73"/>
      <c r="W24" s="75">
        <v>12</v>
      </c>
      <c r="X24" s="76">
        <f t="shared" si="3"/>
        <v>0</v>
      </c>
      <c r="Y24" s="76">
        <f t="shared" si="4"/>
        <v>0</v>
      </c>
      <c r="Z24" s="77">
        <f t="shared" si="5"/>
        <v>0</v>
      </c>
    </row>
    <row r="25" spans="1:26" ht="21" customHeight="1" thickTop="1" thickBot="1" x14ac:dyDescent="0.35">
      <c r="A25" s="10" t="str">
        <f>IF(الجدول1[[#This Row],[اسم العميل]]="", "", ROWS($A$12:الجدول1[[#This Row],[اسم العميل]]))</f>
        <v/>
      </c>
      <c r="B25" s="4"/>
      <c r="C25" s="4"/>
      <c r="D25" s="11"/>
      <c r="E25" s="4"/>
      <c r="F25" s="12"/>
      <c r="G25" s="15" t="str">
        <f t="shared" ca="1" si="0"/>
        <v/>
      </c>
      <c r="H25" s="4"/>
      <c r="I25" s="4"/>
      <c r="J25" s="4"/>
      <c r="K25" s="55" t="str">
        <f t="shared" si="1"/>
        <v/>
      </c>
      <c r="L25" s="90"/>
      <c r="M25" s="48" t="str">
        <f t="shared" ca="1" si="2"/>
        <v/>
      </c>
      <c r="N25" s="73"/>
    </row>
    <row r="26" spans="1:26" ht="21" customHeight="1" thickTop="1" thickBot="1" x14ac:dyDescent="0.35">
      <c r="A26" s="10" t="str">
        <f>IF(الجدول1[[#This Row],[اسم العميل]]="", "", ROWS($A$12:الجدول1[[#This Row],[اسم العميل]]))</f>
        <v/>
      </c>
      <c r="B26" s="4"/>
      <c r="C26" s="4"/>
      <c r="D26" s="11"/>
      <c r="E26" s="4"/>
      <c r="F26" s="12"/>
      <c r="G26" s="15" t="str">
        <f t="shared" ca="1" si="0"/>
        <v/>
      </c>
      <c r="H26" s="4"/>
      <c r="I26" s="4"/>
      <c r="J26" s="4"/>
      <c r="K26" s="55" t="str">
        <f t="shared" si="1"/>
        <v/>
      </c>
      <c r="L26" s="90"/>
      <c r="M26" s="48" t="str">
        <f t="shared" ca="1" si="2"/>
        <v/>
      </c>
      <c r="N26" s="73"/>
    </row>
    <row r="27" spans="1:26" ht="21" customHeight="1" thickTop="1" thickBot="1" x14ac:dyDescent="0.35">
      <c r="A27" s="10" t="str">
        <f>IF(الجدول1[[#This Row],[اسم العميل]]="", "", ROWS($A$12:الجدول1[[#This Row],[اسم العميل]]))</f>
        <v/>
      </c>
      <c r="B27" s="4"/>
      <c r="C27" s="4"/>
      <c r="D27" s="11"/>
      <c r="E27" s="4"/>
      <c r="F27" s="12"/>
      <c r="G27" s="15" t="str">
        <f t="shared" ca="1" si="0"/>
        <v/>
      </c>
      <c r="H27" s="4"/>
      <c r="I27" s="4"/>
      <c r="J27" s="4"/>
      <c r="K27" s="55" t="str">
        <f t="shared" si="1"/>
        <v/>
      </c>
      <c r="L27" s="90"/>
      <c r="M27" s="48" t="str">
        <f t="shared" ca="1" si="2"/>
        <v/>
      </c>
      <c r="N27" s="73"/>
    </row>
    <row r="28" spans="1:26" ht="21" customHeight="1" thickTop="1" thickBot="1" x14ac:dyDescent="0.35">
      <c r="A28" s="10" t="str">
        <f>IF(الجدول1[[#This Row],[اسم العميل]]="", "", ROWS($A$12:الجدول1[[#This Row],[اسم العميل]]))</f>
        <v/>
      </c>
      <c r="B28" s="4"/>
      <c r="C28" s="4"/>
      <c r="D28" s="11"/>
      <c r="E28" s="4"/>
      <c r="F28" s="12"/>
      <c r="G28" s="15" t="str">
        <f t="shared" ca="1" si="0"/>
        <v/>
      </c>
      <c r="H28" s="4"/>
      <c r="I28" s="4"/>
      <c r="J28" s="4"/>
      <c r="K28" s="55" t="str">
        <f t="shared" si="1"/>
        <v/>
      </c>
      <c r="L28" s="90"/>
      <c r="M28" s="48" t="str">
        <f t="shared" ca="1" si="2"/>
        <v/>
      </c>
      <c r="N28" s="73"/>
    </row>
    <row r="29" spans="1:26" ht="21" customHeight="1" thickTop="1" thickBot="1" x14ac:dyDescent="0.35">
      <c r="A29" s="10" t="str">
        <f>IF(الجدول1[[#This Row],[اسم العميل]]="", "", ROWS($A$12:الجدول1[[#This Row],[اسم العميل]]))</f>
        <v/>
      </c>
      <c r="B29" s="4"/>
      <c r="C29" s="4"/>
      <c r="D29" s="11"/>
      <c r="E29" s="4"/>
      <c r="F29" s="12"/>
      <c r="G29" s="15" t="str">
        <f t="shared" ca="1" si="0"/>
        <v/>
      </c>
      <c r="H29" s="4"/>
      <c r="I29" s="4"/>
      <c r="J29" s="4"/>
      <c r="K29" s="55" t="str">
        <f t="shared" si="1"/>
        <v/>
      </c>
      <c r="L29" s="90"/>
      <c r="M29" s="48" t="str">
        <f t="shared" ca="1" si="2"/>
        <v/>
      </c>
      <c r="N29" s="73"/>
    </row>
    <row r="30" spans="1:26" ht="21" customHeight="1" thickTop="1" thickBot="1" x14ac:dyDescent="0.35">
      <c r="A30" s="10" t="str">
        <f>IF(الجدول1[[#This Row],[اسم العميل]]="", "", ROWS($A$12:الجدول1[[#This Row],[اسم العميل]]))</f>
        <v/>
      </c>
      <c r="B30" s="4"/>
      <c r="C30" s="4"/>
      <c r="D30" s="11"/>
      <c r="E30" s="4"/>
      <c r="F30" s="12"/>
      <c r="G30" s="15" t="str">
        <f t="shared" ca="1" si="0"/>
        <v/>
      </c>
      <c r="H30" s="4"/>
      <c r="I30" s="4"/>
      <c r="J30" s="4"/>
      <c r="K30" s="55" t="str">
        <f t="shared" si="1"/>
        <v/>
      </c>
      <c r="L30" s="90"/>
      <c r="M30" s="48" t="str">
        <f t="shared" ca="1" si="2"/>
        <v/>
      </c>
      <c r="N30" s="73"/>
    </row>
    <row r="31" spans="1:26" ht="21" customHeight="1" thickTop="1" thickBot="1" x14ac:dyDescent="0.35">
      <c r="A31" s="10" t="str">
        <f>IF(الجدول1[[#This Row],[اسم العميل]]="", "", ROWS($A$12:الجدول1[[#This Row],[اسم العميل]]))</f>
        <v/>
      </c>
      <c r="B31" s="4"/>
      <c r="C31" s="4"/>
      <c r="D31" s="11"/>
      <c r="E31" s="4"/>
      <c r="F31" s="12"/>
      <c r="G31" s="15" t="str">
        <f t="shared" ca="1" si="0"/>
        <v/>
      </c>
      <c r="H31" s="4"/>
      <c r="I31" s="4"/>
      <c r="J31" s="4"/>
      <c r="K31" s="55" t="str">
        <f t="shared" si="1"/>
        <v/>
      </c>
      <c r="L31" s="90"/>
      <c r="M31" s="48" t="str">
        <f t="shared" ca="1" si="2"/>
        <v/>
      </c>
      <c r="N31" s="73"/>
    </row>
    <row r="32" spans="1:26" ht="21" customHeight="1" thickTop="1" thickBot="1" x14ac:dyDescent="0.35">
      <c r="A32" s="10" t="str">
        <f>IF(الجدول1[[#This Row],[اسم العميل]]="", "", ROWS($A$12:الجدول1[[#This Row],[اسم العميل]]))</f>
        <v/>
      </c>
      <c r="B32" s="4"/>
      <c r="C32" s="4"/>
      <c r="D32" s="11"/>
      <c r="E32" s="4"/>
      <c r="F32" s="12"/>
      <c r="G32" s="15" t="str">
        <f t="shared" ca="1" si="0"/>
        <v/>
      </c>
      <c r="H32" s="4"/>
      <c r="I32" s="4"/>
      <c r="J32" s="4"/>
      <c r="K32" s="55" t="str">
        <f t="shared" si="1"/>
        <v/>
      </c>
      <c r="L32" s="90"/>
      <c r="M32" s="48" t="str">
        <f t="shared" ca="1" si="2"/>
        <v/>
      </c>
      <c r="N32" s="73"/>
    </row>
    <row r="33" spans="1:20" ht="21" customHeight="1" thickTop="1" thickBot="1" x14ac:dyDescent="0.35">
      <c r="A33" s="10" t="str">
        <f>IF(الجدول1[[#This Row],[اسم العميل]]="", "", ROWS($A$12:الجدول1[[#This Row],[اسم العميل]]))</f>
        <v/>
      </c>
      <c r="B33" s="4"/>
      <c r="C33" s="4"/>
      <c r="D33" s="11"/>
      <c r="E33" s="4"/>
      <c r="F33" s="12"/>
      <c r="G33" s="15" t="str">
        <f t="shared" ca="1" si="0"/>
        <v/>
      </c>
      <c r="H33" s="4"/>
      <c r="I33" s="4"/>
      <c r="J33" s="4"/>
      <c r="K33" s="55" t="str">
        <f t="shared" si="1"/>
        <v/>
      </c>
      <c r="L33" s="90"/>
      <c r="M33" s="48" t="str">
        <f t="shared" ca="1" si="2"/>
        <v/>
      </c>
      <c r="N33" s="73"/>
      <c r="Q33" s="70"/>
      <c r="R33" s="70"/>
      <c r="S33" s="70"/>
      <c r="T33" s="70"/>
    </row>
    <row r="34" spans="1:20" ht="21" customHeight="1" thickTop="1" thickBot="1" x14ac:dyDescent="0.35">
      <c r="A34" s="10" t="str">
        <f>IF(الجدول1[[#This Row],[اسم العميل]]="", "", ROWS($A$12:الجدول1[[#This Row],[اسم العميل]]))</f>
        <v/>
      </c>
      <c r="B34" s="4"/>
      <c r="C34" s="4"/>
      <c r="D34" s="11"/>
      <c r="E34" s="4"/>
      <c r="F34" s="12"/>
      <c r="G34" s="15" t="str">
        <f t="shared" ca="1" si="0"/>
        <v/>
      </c>
      <c r="H34" s="4"/>
      <c r="I34" s="4"/>
      <c r="J34" s="4"/>
      <c r="K34" s="55" t="str">
        <f t="shared" si="1"/>
        <v/>
      </c>
      <c r="L34" s="90"/>
      <c r="M34" s="48" t="str">
        <f t="shared" ca="1" si="2"/>
        <v/>
      </c>
      <c r="N34" s="73"/>
    </row>
    <row r="35" spans="1:20" ht="21" customHeight="1" thickTop="1" thickBot="1" x14ac:dyDescent="0.35">
      <c r="A35" s="10" t="str">
        <f>IF(الجدول1[[#This Row],[اسم العميل]]="", "", ROWS($A$12:الجدول1[[#This Row],[اسم العميل]]))</f>
        <v/>
      </c>
      <c r="B35" s="4"/>
      <c r="C35" s="4"/>
      <c r="D35" s="11"/>
      <c r="E35" s="4"/>
      <c r="F35" s="12"/>
      <c r="G35" s="15" t="str">
        <f t="shared" ca="1" si="0"/>
        <v/>
      </c>
      <c r="H35" s="4"/>
      <c r="I35" s="4"/>
      <c r="J35" s="4"/>
      <c r="K35" s="55" t="str">
        <f t="shared" si="1"/>
        <v/>
      </c>
      <c r="L35" s="90"/>
      <c r="M35" s="48" t="str">
        <f t="shared" ca="1" si="2"/>
        <v/>
      </c>
      <c r="N35" s="73"/>
    </row>
    <row r="36" spans="1:20" ht="21" customHeight="1" thickTop="1" thickBot="1" x14ac:dyDescent="0.35">
      <c r="A36" s="10" t="str">
        <f>IF(الجدول1[[#This Row],[اسم العميل]]="", "", ROWS($A$12:الجدول1[[#This Row],[اسم العميل]]))</f>
        <v/>
      </c>
      <c r="B36" s="4"/>
      <c r="C36" s="4"/>
      <c r="D36" s="11"/>
      <c r="E36" s="4"/>
      <c r="F36" s="12"/>
      <c r="G36" s="15" t="str">
        <f t="shared" ca="1" si="0"/>
        <v/>
      </c>
      <c r="H36" s="4"/>
      <c r="I36" s="4"/>
      <c r="J36" s="4"/>
      <c r="K36" s="55" t="str">
        <f t="shared" si="1"/>
        <v/>
      </c>
      <c r="L36" s="90"/>
      <c r="M36" s="48" t="str">
        <f t="shared" ca="1" si="2"/>
        <v/>
      </c>
      <c r="N36" s="73"/>
    </row>
    <row r="37" spans="1:20" ht="21" customHeight="1" thickTop="1" thickBot="1" x14ac:dyDescent="0.35">
      <c r="A37" s="10" t="str">
        <f>IF(الجدول1[[#This Row],[اسم العميل]]="", "", ROWS($A$12:الجدول1[[#This Row],[اسم العميل]]))</f>
        <v/>
      </c>
      <c r="B37" s="4"/>
      <c r="C37" s="4"/>
      <c r="D37" s="11"/>
      <c r="E37" s="4"/>
      <c r="F37" s="12"/>
      <c r="G37" s="15" t="str">
        <f t="shared" ca="1" si="0"/>
        <v/>
      </c>
      <c r="H37" s="4"/>
      <c r="I37" s="4"/>
      <c r="J37" s="4"/>
      <c r="K37" s="55" t="str">
        <f t="shared" si="1"/>
        <v/>
      </c>
      <c r="L37" s="90"/>
      <c r="M37" s="48" t="str">
        <f t="shared" ca="1" si="2"/>
        <v/>
      </c>
      <c r="N37" s="73"/>
    </row>
    <row r="38" spans="1:20" ht="21" customHeight="1" thickTop="1" thickBot="1" x14ac:dyDescent="0.35">
      <c r="A38" s="10" t="str">
        <f>IF(الجدول1[[#This Row],[اسم العميل]]="", "", ROWS($A$12:الجدول1[[#This Row],[اسم العميل]]))</f>
        <v/>
      </c>
      <c r="B38" s="4"/>
      <c r="C38" s="4"/>
      <c r="D38" s="11"/>
      <c r="E38" s="4"/>
      <c r="F38" s="12"/>
      <c r="G38" s="15" t="str">
        <f t="shared" ca="1" si="0"/>
        <v/>
      </c>
      <c r="H38" s="4"/>
      <c r="I38" s="4"/>
      <c r="J38" s="4"/>
      <c r="K38" s="55" t="str">
        <f t="shared" si="1"/>
        <v/>
      </c>
      <c r="L38" s="90"/>
      <c r="M38" s="48" t="str">
        <f t="shared" ca="1" si="2"/>
        <v/>
      </c>
      <c r="N38" s="73"/>
    </row>
    <row r="39" spans="1:20" ht="21" customHeight="1" thickTop="1" thickBot="1" x14ac:dyDescent="0.35">
      <c r="A39" s="10" t="str">
        <f>IF(الجدول1[[#This Row],[اسم العميل]]="", "", ROWS($A$12:الجدول1[[#This Row],[اسم العميل]]))</f>
        <v/>
      </c>
      <c r="B39" s="4"/>
      <c r="C39" s="4"/>
      <c r="D39" s="11"/>
      <c r="E39" s="4"/>
      <c r="F39" s="12"/>
      <c r="G39" s="15" t="str">
        <f t="shared" ca="1" si="0"/>
        <v/>
      </c>
      <c r="H39" s="4"/>
      <c r="I39" s="4"/>
      <c r="J39" s="4"/>
      <c r="K39" s="55" t="str">
        <f t="shared" si="1"/>
        <v/>
      </c>
      <c r="L39" s="90"/>
      <c r="M39" s="48" t="str">
        <f t="shared" ca="1" si="2"/>
        <v/>
      </c>
      <c r="N39" s="73"/>
    </row>
    <row r="40" spans="1:20" ht="21" customHeight="1" thickTop="1" thickBot="1" x14ac:dyDescent="0.35">
      <c r="A40" s="10" t="str">
        <f>IF(الجدول1[[#This Row],[اسم العميل]]="", "", ROWS($A$12:الجدول1[[#This Row],[اسم العميل]]))</f>
        <v/>
      </c>
      <c r="B40" s="4"/>
      <c r="C40" s="4"/>
      <c r="D40" s="11"/>
      <c r="E40" s="4"/>
      <c r="F40" s="12"/>
      <c r="G40" s="15" t="str">
        <f t="shared" ca="1" si="0"/>
        <v/>
      </c>
      <c r="H40" s="4"/>
      <c r="I40" s="4"/>
      <c r="J40" s="4"/>
      <c r="K40" s="55" t="str">
        <f t="shared" si="1"/>
        <v/>
      </c>
      <c r="L40" s="90"/>
      <c r="M40" s="48" t="str">
        <f t="shared" ca="1" si="2"/>
        <v/>
      </c>
      <c r="N40" s="73"/>
    </row>
    <row r="41" spans="1:20" ht="21" customHeight="1" thickTop="1" thickBot="1" x14ac:dyDescent="0.35">
      <c r="A41" s="10" t="str">
        <f>IF(الجدول1[[#This Row],[اسم العميل]]="", "", ROWS($A$12:الجدول1[[#This Row],[اسم العميل]]))</f>
        <v/>
      </c>
      <c r="B41" s="4"/>
      <c r="C41" s="4"/>
      <c r="D41" s="11"/>
      <c r="E41" s="4"/>
      <c r="F41" s="12"/>
      <c r="G41" s="15" t="str">
        <f t="shared" ca="1" si="0"/>
        <v/>
      </c>
      <c r="H41" s="4"/>
      <c r="I41" s="4"/>
      <c r="J41" s="4"/>
      <c r="K41" s="55" t="str">
        <f t="shared" si="1"/>
        <v/>
      </c>
      <c r="L41" s="90"/>
      <c r="M41" s="48" t="str">
        <f t="shared" ca="1" si="2"/>
        <v/>
      </c>
      <c r="N41" s="73"/>
    </row>
    <row r="42" spans="1:20" ht="21" customHeight="1" thickTop="1" thickBot="1" x14ac:dyDescent="0.35">
      <c r="A42" s="10" t="str">
        <f>IF(الجدول1[[#This Row],[اسم العميل]]="", "", ROWS($A$12:الجدول1[[#This Row],[اسم العميل]]))</f>
        <v/>
      </c>
      <c r="B42" s="4"/>
      <c r="C42" s="4"/>
      <c r="D42" s="11"/>
      <c r="E42" s="4"/>
      <c r="F42" s="12"/>
      <c r="G42" s="15" t="str">
        <f t="shared" ca="1" si="0"/>
        <v/>
      </c>
      <c r="H42" s="4"/>
      <c r="I42" s="4"/>
      <c r="J42" s="4"/>
      <c r="K42" s="55" t="str">
        <f t="shared" si="1"/>
        <v/>
      </c>
      <c r="L42" s="90"/>
      <c r="M42" s="48" t="str">
        <f t="shared" ca="1" si="2"/>
        <v/>
      </c>
      <c r="N42" s="73"/>
    </row>
    <row r="43" spans="1:20" ht="21" customHeight="1" thickTop="1" thickBot="1" x14ac:dyDescent="0.35">
      <c r="A43" s="10" t="str">
        <f>IF(الجدول1[[#This Row],[اسم العميل]]="", "", ROWS($A$12:الجدول1[[#This Row],[اسم العميل]]))</f>
        <v/>
      </c>
      <c r="B43" s="4"/>
      <c r="C43" s="4"/>
      <c r="D43" s="11"/>
      <c r="E43" s="4"/>
      <c r="F43" s="12"/>
      <c r="G43" s="15" t="str">
        <f t="shared" ca="1" si="0"/>
        <v/>
      </c>
      <c r="H43" s="4"/>
      <c r="I43" s="4"/>
      <c r="J43" s="4"/>
      <c r="K43" s="55" t="str">
        <f t="shared" si="1"/>
        <v/>
      </c>
      <c r="L43" s="90"/>
      <c r="M43" s="48" t="str">
        <f t="shared" ca="1" si="2"/>
        <v/>
      </c>
      <c r="N43" s="73"/>
    </row>
    <row r="44" spans="1:20" ht="21" customHeight="1" thickTop="1" thickBot="1" x14ac:dyDescent="0.35">
      <c r="A44" s="10" t="str">
        <f>IF(الجدول1[[#This Row],[اسم العميل]]="", "", ROWS($A$12:الجدول1[[#This Row],[اسم العميل]]))</f>
        <v/>
      </c>
      <c r="B44" s="4"/>
      <c r="C44" s="4"/>
      <c r="D44" s="11"/>
      <c r="E44" s="4"/>
      <c r="F44" s="12"/>
      <c r="G44" s="15" t="str">
        <f t="shared" ref="G44:G75" ca="1" si="6">IF(F44="","",MIN(90,TODAY()-F44))</f>
        <v/>
      </c>
      <c r="H44" s="4"/>
      <c r="I44" s="4"/>
      <c r="J44" s="4"/>
      <c r="K44" s="55" t="str">
        <f t="shared" ref="K44:K75" si="7">IF(J44="", "", J44-I44)</f>
        <v/>
      </c>
      <c r="L44" s="90"/>
      <c r="M44" s="48" t="str">
        <f t="shared" ref="M44:M75" ca="1" si="8">IF(L44="تم الإرسال", "✅ تم الإرسال بنجاح", IF(OR(G44="", G44&lt;80), "", HYPERLINK("https://wa.me/" &amp; D44 &amp; "?text=عزيزنا " &amp; B44 &amp; "، نود تنبيهكم أن مدة تأشيرة العمرة أوشكت على الانتهاء، المتبقي لكم " &amp; (90-G44) &amp; " يوم فقط. نسأل الله تقبل عمرتكم. دمتم بخير - " &amp; E44, "إرسال رسالة")))</f>
        <v/>
      </c>
      <c r="N44" s="73"/>
    </row>
    <row r="45" spans="1:20" ht="21" customHeight="1" thickTop="1" thickBot="1" x14ac:dyDescent="0.35">
      <c r="A45" s="10" t="str">
        <f>IF(الجدول1[[#This Row],[اسم العميل]]="", "", ROWS($A$12:الجدول1[[#This Row],[اسم العميل]]))</f>
        <v/>
      </c>
      <c r="B45" s="4"/>
      <c r="C45" s="4"/>
      <c r="D45" s="11"/>
      <c r="E45" s="4"/>
      <c r="F45" s="12"/>
      <c r="G45" s="15" t="str">
        <f t="shared" ca="1" si="6"/>
        <v/>
      </c>
      <c r="H45" s="4"/>
      <c r="I45" s="4"/>
      <c r="J45" s="4"/>
      <c r="K45" s="55" t="str">
        <f t="shared" si="7"/>
        <v/>
      </c>
      <c r="L45" s="90"/>
      <c r="M45" s="48" t="str">
        <f t="shared" ca="1" si="8"/>
        <v/>
      </c>
      <c r="N45" s="73"/>
    </row>
    <row r="46" spans="1:20" ht="21" customHeight="1" thickTop="1" thickBot="1" x14ac:dyDescent="0.35">
      <c r="A46" s="10" t="str">
        <f>IF(الجدول1[[#This Row],[اسم العميل]]="", "", ROWS($A$12:الجدول1[[#This Row],[اسم العميل]]))</f>
        <v/>
      </c>
      <c r="B46" s="4"/>
      <c r="C46" s="4"/>
      <c r="D46" s="11"/>
      <c r="E46" s="4"/>
      <c r="F46" s="12"/>
      <c r="G46" s="15" t="str">
        <f t="shared" ca="1" si="6"/>
        <v/>
      </c>
      <c r="H46" s="4"/>
      <c r="I46" s="4"/>
      <c r="J46" s="4"/>
      <c r="K46" s="55" t="str">
        <f t="shared" si="7"/>
        <v/>
      </c>
      <c r="L46" s="90"/>
      <c r="M46" s="48" t="str">
        <f t="shared" ca="1" si="8"/>
        <v/>
      </c>
      <c r="N46" s="73"/>
    </row>
    <row r="47" spans="1:20" ht="21" customHeight="1" thickTop="1" thickBot="1" x14ac:dyDescent="0.35">
      <c r="A47" s="10" t="str">
        <f>IF(الجدول1[[#This Row],[اسم العميل]]="", "", ROWS($A$12:الجدول1[[#This Row],[اسم العميل]]))</f>
        <v/>
      </c>
      <c r="B47" s="4"/>
      <c r="C47" s="4"/>
      <c r="D47" s="11"/>
      <c r="E47" s="4"/>
      <c r="F47" s="12"/>
      <c r="G47" s="15" t="str">
        <f t="shared" ca="1" si="6"/>
        <v/>
      </c>
      <c r="H47" s="4"/>
      <c r="I47" s="4"/>
      <c r="J47" s="4"/>
      <c r="K47" s="55" t="str">
        <f t="shared" si="7"/>
        <v/>
      </c>
      <c r="L47" s="90"/>
      <c r="M47" s="48" t="str">
        <f t="shared" ca="1" si="8"/>
        <v/>
      </c>
      <c r="N47" s="73"/>
    </row>
    <row r="48" spans="1:20" ht="21" customHeight="1" thickTop="1" thickBot="1" x14ac:dyDescent="0.35">
      <c r="A48" s="10" t="str">
        <f>IF(الجدول1[[#This Row],[اسم العميل]]="", "", ROWS($A$12:الجدول1[[#This Row],[اسم العميل]]))</f>
        <v/>
      </c>
      <c r="B48" s="4"/>
      <c r="C48" s="4"/>
      <c r="D48" s="11"/>
      <c r="E48" s="4"/>
      <c r="F48" s="12"/>
      <c r="G48" s="15" t="str">
        <f t="shared" ca="1" si="6"/>
        <v/>
      </c>
      <c r="H48" s="4"/>
      <c r="I48" s="4"/>
      <c r="J48" s="4"/>
      <c r="K48" s="55" t="str">
        <f t="shared" si="7"/>
        <v/>
      </c>
      <c r="L48" s="90"/>
      <c r="M48" s="48" t="str">
        <f t="shared" ca="1" si="8"/>
        <v/>
      </c>
      <c r="N48" s="73"/>
    </row>
    <row r="49" spans="1:14" ht="21" customHeight="1" thickTop="1" thickBot="1" x14ac:dyDescent="0.35">
      <c r="A49" s="10" t="str">
        <f>IF(الجدول1[[#This Row],[اسم العميل]]="", "", ROWS($A$12:الجدول1[[#This Row],[اسم العميل]]))</f>
        <v/>
      </c>
      <c r="B49" s="4"/>
      <c r="C49" s="4"/>
      <c r="D49" s="11"/>
      <c r="E49" s="4"/>
      <c r="F49" s="12"/>
      <c r="G49" s="15" t="str">
        <f t="shared" ca="1" si="6"/>
        <v/>
      </c>
      <c r="H49" s="4"/>
      <c r="I49" s="4"/>
      <c r="J49" s="4"/>
      <c r="K49" s="55" t="str">
        <f t="shared" si="7"/>
        <v/>
      </c>
      <c r="L49" s="90"/>
      <c r="M49" s="48" t="str">
        <f t="shared" ca="1" si="8"/>
        <v/>
      </c>
      <c r="N49" s="73"/>
    </row>
    <row r="50" spans="1:14" ht="21" customHeight="1" thickTop="1" thickBot="1" x14ac:dyDescent="0.35">
      <c r="A50" s="10" t="str">
        <f>IF(الجدول1[[#This Row],[اسم العميل]]="", "", ROWS($A$12:الجدول1[[#This Row],[اسم العميل]]))</f>
        <v/>
      </c>
      <c r="B50" s="4"/>
      <c r="C50" s="4"/>
      <c r="D50" s="11"/>
      <c r="E50" s="4"/>
      <c r="F50" s="12"/>
      <c r="G50" s="15" t="str">
        <f t="shared" ca="1" si="6"/>
        <v/>
      </c>
      <c r="H50" s="4"/>
      <c r="I50" s="4"/>
      <c r="J50" s="4"/>
      <c r="K50" s="55" t="str">
        <f t="shared" si="7"/>
        <v/>
      </c>
      <c r="L50" s="90"/>
      <c r="M50" s="48" t="str">
        <f t="shared" ca="1" si="8"/>
        <v/>
      </c>
      <c r="N50" s="73"/>
    </row>
    <row r="51" spans="1:14" ht="21" customHeight="1" thickTop="1" thickBot="1" x14ac:dyDescent="0.35">
      <c r="A51" s="10" t="str">
        <f>IF(الجدول1[[#This Row],[اسم العميل]]="", "", ROWS($A$12:الجدول1[[#This Row],[اسم العميل]]))</f>
        <v/>
      </c>
      <c r="B51" s="4"/>
      <c r="C51" s="4"/>
      <c r="D51" s="11"/>
      <c r="E51" s="4"/>
      <c r="F51" s="12"/>
      <c r="G51" s="15" t="str">
        <f t="shared" ca="1" si="6"/>
        <v/>
      </c>
      <c r="H51" s="4"/>
      <c r="I51" s="4"/>
      <c r="J51" s="4"/>
      <c r="K51" s="55" t="str">
        <f t="shared" si="7"/>
        <v/>
      </c>
      <c r="L51" s="90"/>
      <c r="M51" s="48" t="str">
        <f t="shared" ca="1" si="8"/>
        <v/>
      </c>
      <c r="N51" s="73"/>
    </row>
    <row r="52" spans="1:14" ht="21" customHeight="1" thickTop="1" thickBot="1" x14ac:dyDescent="0.35">
      <c r="A52" s="10" t="str">
        <f>IF(الجدول1[[#This Row],[اسم العميل]]="", "", ROWS($A$12:الجدول1[[#This Row],[اسم العميل]]))</f>
        <v/>
      </c>
      <c r="B52" s="4"/>
      <c r="C52" s="4"/>
      <c r="D52" s="11"/>
      <c r="E52" s="4"/>
      <c r="F52" s="12"/>
      <c r="G52" s="15" t="str">
        <f t="shared" ca="1" si="6"/>
        <v/>
      </c>
      <c r="H52" s="4"/>
      <c r="I52" s="4"/>
      <c r="J52" s="4"/>
      <c r="K52" s="55" t="str">
        <f t="shared" si="7"/>
        <v/>
      </c>
      <c r="L52" s="90"/>
      <c r="M52" s="48" t="str">
        <f t="shared" ca="1" si="8"/>
        <v/>
      </c>
      <c r="N52" s="73"/>
    </row>
    <row r="53" spans="1:14" ht="21" customHeight="1" thickTop="1" thickBot="1" x14ac:dyDescent="0.35">
      <c r="A53" s="10" t="str">
        <f>IF(الجدول1[[#This Row],[اسم العميل]]="", "", ROWS($A$12:الجدول1[[#This Row],[اسم العميل]]))</f>
        <v/>
      </c>
      <c r="B53" s="4"/>
      <c r="C53" s="4"/>
      <c r="D53" s="11"/>
      <c r="E53" s="4"/>
      <c r="F53" s="12"/>
      <c r="G53" s="15" t="str">
        <f t="shared" ca="1" si="6"/>
        <v/>
      </c>
      <c r="H53" s="4"/>
      <c r="I53" s="4"/>
      <c r="J53" s="4"/>
      <c r="K53" s="55" t="str">
        <f t="shared" si="7"/>
        <v/>
      </c>
      <c r="L53" s="90"/>
      <c r="M53" s="48" t="str">
        <f t="shared" ca="1" si="8"/>
        <v/>
      </c>
      <c r="N53" s="73"/>
    </row>
    <row r="54" spans="1:14" ht="21" customHeight="1" thickTop="1" thickBot="1" x14ac:dyDescent="0.35">
      <c r="A54" s="10" t="str">
        <f>IF(الجدول1[[#This Row],[اسم العميل]]="", "", ROWS($A$12:الجدول1[[#This Row],[اسم العميل]]))</f>
        <v/>
      </c>
      <c r="B54" s="4"/>
      <c r="C54" s="4"/>
      <c r="D54" s="11"/>
      <c r="E54" s="4"/>
      <c r="F54" s="12"/>
      <c r="G54" s="15" t="str">
        <f t="shared" ca="1" si="6"/>
        <v/>
      </c>
      <c r="H54" s="4"/>
      <c r="I54" s="4"/>
      <c r="J54" s="4"/>
      <c r="K54" s="55" t="str">
        <f t="shared" si="7"/>
        <v/>
      </c>
      <c r="L54" s="90"/>
      <c r="M54" s="48" t="str">
        <f t="shared" ca="1" si="8"/>
        <v/>
      </c>
      <c r="N54" s="73"/>
    </row>
    <row r="55" spans="1:14" ht="21" customHeight="1" thickTop="1" thickBot="1" x14ac:dyDescent="0.35">
      <c r="A55" s="10" t="str">
        <f>IF(الجدول1[[#This Row],[اسم العميل]]="", "", ROWS($A$12:الجدول1[[#This Row],[اسم العميل]]))</f>
        <v/>
      </c>
      <c r="B55" s="4"/>
      <c r="C55" s="4"/>
      <c r="D55" s="11"/>
      <c r="E55" s="4"/>
      <c r="F55" s="12"/>
      <c r="G55" s="15" t="str">
        <f t="shared" ca="1" si="6"/>
        <v/>
      </c>
      <c r="H55" s="4"/>
      <c r="I55" s="4"/>
      <c r="J55" s="4"/>
      <c r="K55" s="55" t="str">
        <f t="shared" si="7"/>
        <v/>
      </c>
      <c r="L55" s="90"/>
      <c r="M55" s="48" t="str">
        <f t="shared" ca="1" si="8"/>
        <v/>
      </c>
      <c r="N55" s="73"/>
    </row>
    <row r="56" spans="1:14" ht="21" customHeight="1" thickTop="1" thickBot="1" x14ac:dyDescent="0.35">
      <c r="A56" s="10" t="str">
        <f>IF(الجدول1[[#This Row],[اسم العميل]]="", "", ROWS($A$12:الجدول1[[#This Row],[اسم العميل]]))</f>
        <v/>
      </c>
      <c r="B56" s="4"/>
      <c r="C56" s="4"/>
      <c r="D56" s="11"/>
      <c r="E56" s="4"/>
      <c r="F56" s="12"/>
      <c r="G56" s="15" t="str">
        <f t="shared" ca="1" si="6"/>
        <v/>
      </c>
      <c r="H56" s="4"/>
      <c r="I56" s="4"/>
      <c r="J56" s="4"/>
      <c r="K56" s="55" t="str">
        <f t="shared" si="7"/>
        <v/>
      </c>
      <c r="L56" s="90"/>
      <c r="M56" s="48" t="str">
        <f t="shared" ca="1" si="8"/>
        <v/>
      </c>
      <c r="N56" s="73"/>
    </row>
    <row r="57" spans="1:14" ht="21" customHeight="1" thickTop="1" thickBot="1" x14ac:dyDescent="0.35">
      <c r="A57" s="10" t="str">
        <f>IF(الجدول1[[#This Row],[اسم العميل]]="", "", ROWS($A$12:الجدول1[[#This Row],[اسم العميل]]))</f>
        <v/>
      </c>
      <c r="B57" s="4"/>
      <c r="C57" s="4"/>
      <c r="D57" s="11"/>
      <c r="E57" s="4"/>
      <c r="F57" s="12"/>
      <c r="G57" s="15" t="str">
        <f t="shared" ca="1" si="6"/>
        <v/>
      </c>
      <c r="H57" s="4"/>
      <c r="I57" s="4"/>
      <c r="J57" s="4"/>
      <c r="K57" s="55" t="str">
        <f t="shared" si="7"/>
        <v/>
      </c>
      <c r="L57" s="90"/>
      <c r="M57" s="48" t="str">
        <f t="shared" ca="1" si="8"/>
        <v/>
      </c>
      <c r="N57" s="73"/>
    </row>
    <row r="58" spans="1:14" ht="21" customHeight="1" thickTop="1" thickBot="1" x14ac:dyDescent="0.35">
      <c r="A58" s="10" t="str">
        <f>IF(الجدول1[[#This Row],[اسم العميل]]="", "", ROWS($A$12:الجدول1[[#This Row],[اسم العميل]]))</f>
        <v/>
      </c>
      <c r="B58" s="4"/>
      <c r="C58" s="4"/>
      <c r="D58" s="11"/>
      <c r="E58" s="4"/>
      <c r="F58" s="12"/>
      <c r="G58" s="15" t="str">
        <f t="shared" ca="1" si="6"/>
        <v/>
      </c>
      <c r="H58" s="4"/>
      <c r="I58" s="4"/>
      <c r="J58" s="4"/>
      <c r="K58" s="55" t="str">
        <f t="shared" si="7"/>
        <v/>
      </c>
      <c r="L58" s="90"/>
      <c r="M58" s="48" t="str">
        <f t="shared" ca="1" si="8"/>
        <v/>
      </c>
      <c r="N58" s="73"/>
    </row>
    <row r="59" spans="1:14" ht="21" customHeight="1" thickTop="1" thickBot="1" x14ac:dyDescent="0.35">
      <c r="A59" s="10" t="str">
        <f>IF(الجدول1[[#This Row],[اسم العميل]]="", "", ROWS($A$12:الجدول1[[#This Row],[اسم العميل]]))</f>
        <v/>
      </c>
      <c r="B59" s="4"/>
      <c r="C59" s="4"/>
      <c r="D59" s="11"/>
      <c r="E59" s="4"/>
      <c r="F59" s="12"/>
      <c r="G59" s="15" t="str">
        <f t="shared" ca="1" si="6"/>
        <v/>
      </c>
      <c r="H59" s="4"/>
      <c r="I59" s="4"/>
      <c r="J59" s="4"/>
      <c r="K59" s="55" t="str">
        <f t="shared" si="7"/>
        <v/>
      </c>
      <c r="L59" s="90"/>
      <c r="M59" s="48" t="str">
        <f t="shared" ca="1" si="8"/>
        <v/>
      </c>
      <c r="N59" s="73"/>
    </row>
    <row r="60" spans="1:14" ht="21" customHeight="1" thickTop="1" thickBot="1" x14ac:dyDescent="0.35">
      <c r="A60" s="10" t="str">
        <f>IF(الجدول1[[#This Row],[اسم العميل]]="", "", ROWS($A$12:الجدول1[[#This Row],[اسم العميل]]))</f>
        <v/>
      </c>
      <c r="B60" s="4"/>
      <c r="C60" s="4"/>
      <c r="D60" s="11"/>
      <c r="E60" s="4"/>
      <c r="F60" s="12"/>
      <c r="G60" s="15" t="str">
        <f t="shared" ca="1" si="6"/>
        <v/>
      </c>
      <c r="H60" s="4"/>
      <c r="I60" s="4"/>
      <c r="J60" s="4"/>
      <c r="K60" s="55" t="str">
        <f t="shared" si="7"/>
        <v/>
      </c>
      <c r="L60" s="90"/>
      <c r="M60" s="48" t="str">
        <f t="shared" ca="1" si="8"/>
        <v/>
      </c>
      <c r="N60" s="73"/>
    </row>
    <row r="61" spans="1:14" ht="21" customHeight="1" thickTop="1" thickBot="1" x14ac:dyDescent="0.35">
      <c r="A61" s="10" t="str">
        <f>IF(الجدول1[[#This Row],[اسم العميل]]="", "", ROWS($A$12:الجدول1[[#This Row],[اسم العميل]]))</f>
        <v/>
      </c>
      <c r="B61" s="4"/>
      <c r="C61" s="4"/>
      <c r="D61" s="11"/>
      <c r="E61" s="4"/>
      <c r="F61" s="12"/>
      <c r="G61" s="15" t="str">
        <f t="shared" ca="1" si="6"/>
        <v/>
      </c>
      <c r="H61" s="4"/>
      <c r="I61" s="4"/>
      <c r="J61" s="4"/>
      <c r="K61" s="55" t="str">
        <f t="shared" si="7"/>
        <v/>
      </c>
      <c r="L61" s="90"/>
      <c r="M61" s="48" t="str">
        <f t="shared" ca="1" si="8"/>
        <v/>
      </c>
      <c r="N61" s="73"/>
    </row>
    <row r="62" spans="1:14" ht="21" customHeight="1" thickTop="1" thickBot="1" x14ac:dyDescent="0.35">
      <c r="A62" s="10" t="str">
        <f>IF(الجدول1[[#This Row],[اسم العميل]]="", "", ROWS($A$12:الجدول1[[#This Row],[اسم العميل]]))</f>
        <v/>
      </c>
      <c r="B62" s="4"/>
      <c r="C62" s="4"/>
      <c r="D62" s="11"/>
      <c r="E62" s="4"/>
      <c r="F62" s="12"/>
      <c r="G62" s="15" t="str">
        <f t="shared" ca="1" si="6"/>
        <v/>
      </c>
      <c r="H62" s="4"/>
      <c r="I62" s="4"/>
      <c r="J62" s="4"/>
      <c r="K62" s="55" t="str">
        <f t="shared" si="7"/>
        <v/>
      </c>
      <c r="L62" s="90"/>
      <c r="M62" s="48" t="str">
        <f t="shared" ca="1" si="8"/>
        <v/>
      </c>
      <c r="N62" s="73"/>
    </row>
    <row r="63" spans="1:14" ht="21" customHeight="1" thickTop="1" thickBot="1" x14ac:dyDescent="0.35">
      <c r="A63" s="10" t="str">
        <f>IF(الجدول1[[#This Row],[اسم العميل]]="", "", ROWS($A$12:الجدول1[[#This Row],[اسم العميل]]))</f>
        <v/>
      </c>
      <c r="B63" s="4"/>
      <c r="C63" s="4"/>
      <c r="D63" s="11"/>
      <c r="E63" s="4"/>
      <c r="F63" s="12"/>
      <c r="G63" s="15" t="str">
        <f t="shared" ca="1" si="6"/>
        <v/>
      </c>
      <c r="H63" s="4"/>
      <c r="I63" s="4"/>
      <c r="J63" s="4"/>
      <c r="K63" s="55" t="str">
        <f t="shared" si="7"/>
        <v/>
      </c>
      <c r="L63" s="90"/>
      <c r="M63" s="48" t="str">
        <f t="shared" ca="1" si="8"/>
        <v/>
      </c>
      <c r="N63" s="73"/>
    </row>
    <row r="64" spans="1:14" ht="21" customHeight="1" thickTop="1" thickBot="1" x14ac:dyDescent="0.35">
      <c r="A64" s="10" t="str">
        <f>IF(الجدول1[[#This Row],[اسم العميل]]="", "", ROWS($A$12:الجدول1[[#This Row],[اسم العميل]]))</f>
        <v/>
      </c>
      <c r="B64" s="4"/>
      <c r="C64" s="4"/>
      <c r="D64" s="11"/>
      <c r="E64" s="4"/>
      <c r="F64" s="12"/>
      <c r="G64" s="15" t="str">
        <f t="shared" ca="1" si="6"/>
        <v/>
      </c>
      <c r="H64" s="4"/>
      <c r="I64" s="4"/>
      <c r="J64" s="4"/>
      <c r="K64" s="55" t="str">
        <f t="shared" si="7"/>
        <v/>
      </c>
      <c r="L64" s="90"/>
      <c r="M64" s="48" t="str">
        <f t="shared" ca="1" si="8"/>
        <v/>
      </c>
      <c r="N64" s="73"/>
    </row>
    <row r="65" spans="1:14" ht="21" customHeight="1" thickTop="1" thickBot="1" x14ac:dyDescent="0.35">
      <c r="A65" s="10" t="str">
        <f>IF(الجدول1[[#This Row],[اسم العميل]]="", "", ROWS($A$12:الجدول1[[#This Row],[اسم العميل]]))</f>
        <v/>
      </c>
      <c r="B65" s="4"/>
      <c r="C65" s="4"/>
      <c r="D65" s="11"/>
      <c r="E65" s="4"/>
      <c r="F65" s="12"/>
      <c r="G65" s="15" t="str">
        <f t="shared" ca="1" si="6"/>
        <v/>
      </c>
      <c r="H65" s="4"/>
      <c r="I65" s="4"/>
      <c r="J65" s="4"/>
      <c r="K65" s="55" t="str">
        <f t="shared" si="7"/>
        <v/>
      </c>
      <c r="L65" s="90"/>
      <c r="M65" s="48" t="str">
        <f t="shared" ca="1" si="8"/>
        <v/>
      </c>
      <c r="N65" s="73"/>
    </row>
    <row r="66" spans="1:14" ht="21" customHeight="1" thickTop="1" thickBot="1" x14ac:dyDescent="0.35">
      <c r="A66" s="10" t="str">
        <f>IF(الجدول1[[#This Row],[اسم العميل]]="", "", ROWS($A$12:الجدول1[[#This Row],[اسم العميل]]))</f>
        <v/>
      </c>
      <c r="B66" s="4"/>
      <c r="C66" s="4"/>
      <c r="D66" s="11"/>
      <c r="E66" s="4"/>
      <c r="F66" s="12"/>
      <c r="G66" s="15" t="str">
        <f t="shared" ca="1" si="6"/>
        <v/>
      </c>
      <c r="H66" s="4"/>
      <c r="I66" s="4"/>
      <c r="J66" s="4"/>
      <c r="K66" s="55" t="str">
        <f t="shared" si="7"/>
        <v/>
      </c>
      <c r="L66" s="90"/>
      <c r="M66" s="48" t="str">
        <f t="shared" ca="1" si="8"/>
        <v/>
      </c>
      <c r="N66" s="73"/>
    </row>
    <row r="67" spans="1:14" ht="21" customHeight="1" thickTop="1" thickBot="1" x14ac:dyDescent="0.35">
      <c r="A67" s="10" t="str">
        <f>IF(الجدول1[[#This Row],[اسم العميل]]="", "", ROWS($A$12:الجدول1[[#This Row],[اسم العميل]]))</f>
        <v/>
      </c>
      <c r="B67" s="4"/>
      <c r="C67" s="4"/>
      <c r="D67" s="11"/>
      <c r="E67" s="4"/>
      <c r="F67" s="12"/>
      <c r="G67" s="15" t="str">
        <f t="shared" ca="1" si="6"/>
        <v/>
      </c>
      <c r="H67" s="4"/>
      <c r="I67" s="4"/>
      <c r="J67" s="4"/>
      <c r="K67" s="55" t="str">
        <f t="shared" si="7"/>
        <v/>
      </c>
      <c r="L67" s="90"/>
      <c r="M67" s="48" t="str">
        <f t="shared" ca="1" si="8"/>
        <v/>
      </c>
      <c r="N67" s="73"/>
    </row>
    <row r="68" spans="1:14" ht="21" customHeight="1" thickTop="1" thickBot="1" x14ac:dyDescent="0.35">
      <c r="A68" s="10" t="str">
        <f>IF(الجدول1[[#This Row],[اسم العميل]]="", "", ROWS($A$12:الجدول1[[#This Row],[اسم العميل]]))</f>
        <v/>
      </c>
      <c r="B68" s="4"/>
      <c r="C68" s="4"/>
      <c r="D68" s="11"/>
      <c r="E68" s="4"/>
      <c r="F68" s="12"/>
      <c r="G68" s="15" t="str">
        <f t="shared" ca="1" si="6"/>
        <v/>
      </c>
      <c r="H68" s="4"/>
      <c r="I68" s="4"/>
      <c r="J68" s="4"/>
      <c r="K68" s="55" t="str">
        <f t="shared" si="7"/>
        <v/>
      </c>
      <c r="L68" s="90"/>
      <c r="M68" s="48" t="str">
        <f t="shared" ca="1" si="8"/>
        <v/>
      </c>
      <c r="N68" s="73"/>
    </row>
    <row r="69" spans="1:14" ht="21" customHeight="1" thickTop="1" thickBot="1" x14ac:dyDescent="0.35">
      <c r="A69" s="10" t="str">
        <f>IF(الجدول1[[#This Row],[اسم العميل]]="", "", ROWS($A$12:الجدول1[[#This Row],[اسم العميل]]))</f>
        <v/>
      </c>
      <c r="B69" s="4"/>
      <c r="C69" s="4"/>
      <c r="D69" s="11"/>
      <c r="E69" s="4"/>
      <c r="F69" s="12"/>
      <c r="G69" s="15" t="str">
        <f t="shared" ca="1" si="6"/>
        <v/>
      </c>
      <c r="H69" s="4"/>
      <c r="I69" s="4"/>
      <c r="J69" s="4"/>
      <c r="K69" s="55" t="str">
        <f t="shared" si="7"/>
        <v/>
      </c>
      <c r="L69" s="90"/>
      <c r="M69" s="48" t="str">
        <f t="shared" ca="1" si="8"/>
        <v/>
      </c>
      <c r="N69" s="73"/>
    </row>
    <row r="70" spans="1:14" ht="21" customHeight="1" thickTop="1" thickBot="1" x14ac:dyDescent="0.35">
      <c r="A70" s="10" t="str">
        <f>IF(الجدول1[[#This Row],[اسم العميل]]="", "", ROWS($A$12:الجدول1[[#This Row],[اسم العميل]]))</f>
        <v/>
      </c>
      <c r="B70" s="4"/>
      <c r="C70" s="4"/>
      <c r="D70" s="11"/>
      <c r="E70" s="4"/>
      <c r="F70" s="12"/>
      <c r="G70" s="15" t="str">
        <f t="shared" ca="1" si="6"/>
        <v/>
      </c>
      <c r="H70" s="4"/>
      <c r="I70" s="4"/>
      <c r="J70" s="4"/>
      <c r="K70" s="55" t="str">
        <f t="shared" si="7"/>
        <v/>
      </c>
      <c r="L70" s="90"/>
      <c r="M70" s="48" t="str">
        <f t="shared" ca="1" si="8"/>
        <v/>
      </c>
      <c r="N70" s="73"/>
    </row>
    <row r="71" spans="1:14" ht="21" customHeight="1" thickTop="1" thickBot="1" x14ac:dyDescent="0.35">
      <c r="A71" s="10" t="str">
        <f>IF(الجدول1[[#This Row],[اسم العميل]]="", "", ROWS($A$12:الجدول1[[#This Row],[اسم العميل]]))</f>
        <v/>
      </c>
      <c r="B71" s="4"/>
      <c r="C71" s="4"/>
      <c r="D71" s="11"/>
      <c r="E71" s="4"/>
      <c r="F71" s="12"/>
      <c r="G71" s="15" t="str">
        <f t="shared" ca="1" si="6"/>
        <v/>
      </c>
      <c r="H71" s="4"/>
      <c r="I71" s="4"/>
      <c r="J71" s="4"/>
      <c r="K71" s="55" t="str">
        <f t="shared" si="7"/>
        <v/>
      </c>
      <c r="L71" s="90"/>
      <c r="M71" s="48" t="str">
        <f t="shared" ca="1" si="8"/>
        <v/>
      </c>
      <c r="N71" s="73"/>
    </row>
    <row r="72" spans="1:14" ht="21" customHeight="1" thickTop="1" thickBot="1" x14ac:dyDescent="0.35">
      <c r="A72" s="10" t="str">
        <f>IF(الجدول1[[#This Row],[اسم العميل]]="", "", ROWS($A$12:الجدول1[[#This Row],[اسم العميل]]))</f>
        <v/>
      </c>
      <c r="B72" s="4"/>
      <c r="C72" s="4"/>
      <c r="D72" s="11"/>
      <c r="E72" s="4"/>
      <c r="F72" s="12"/>
      <c r="G72" s="15" t="str">
        <f t="shared" ca="1" si="6"/>
        <v/>
      </c>
      <c r="H72" s="4"/>
      <c r="I72" s="4"/>
      <c r="J72" s="4"/>
      <c r="K72" s="55" t="str">
        <f t="shared" si="7"/>
        <v/>
      </c>
      <c r="L72" s="90"/>
      <c r="M72" s="48" t="str">
        <f t="shared" ca="1" si="8"/>
        <v/>
      </c>
      <c r="N72" s="73"/>
    </row>
    <row r="73" spans="1:14" ht="21" customHeight="1" thickTop="1" thickBot="1" x14ac:dyDescent="0.35">
      <c r="A73" s="10" t="str">
        <f>IF(الجدول1[[#This Row],[اسم العميل]]="", "", ROWS($A$12:الجدول1[[#This Row],[اسم العميل]]))</f>
        <v/>
      </c>
      <c r="B73" s="4"/>
      <c r="C73" s="4"/>
      <c r="D73" s="11"/>
      <c r="E73" s="4"/>
      <c r="F73" s="12"/>
      <c r="G73" s="15" t="str">
        <f t="shared" ca="1" si="6"/>
        <v/>
      </c>
      <c r="H73" s="4"/>
      <c r="I73" s="4"/>
      <c r="J73" s="4"/>
      <c r="K73" s="55" t="str">
        <f t="shared" si="7"/>
        <v/>
      </c>
      <c r="L73" s="90"/>
      <c r="M73" s="48" t="str">
        <f t="shared" ca="1" si="8"/>
        <v/>
      </c>
      <c r="N73" s="73"/>
    </row>
    <row r="74" spans="1:14" ht="21" customHeight="1" thickTop="1" thickBot="1" x14ac:dyDescent="0.35">
      <c r="A74" s="10" t="str">
        <f>IF(الجدول1[[#This Row],[اسم العميل]]="", "", ROWS($A$12:الجدول1[[#This Row],[اسم العميل]]))</f>
        <v/>
      </c>
      <c r="B74" s="4"/>
      <c r="C74" s="4"/>
      <c r="D74" s="11"/>
      <c r="E74" s="4"/>
      <c r="F74" s="12"/>
      <c r="G74" s="15" t="str">
        <f t="shared" ca="1" si="6"/>
        <v/>
      </c>
      <c r="H74" s="4"/>
      <c r="I74" s="4"/>
      <c r="J74" s="4"/>
      <c r="K74" s="55" t="str">
        <f t="shared" si="7"/>
        <v/>
      </c>
      <c r="L74" s="90"/>
      <c r="M74" s="48" t="str">
        <f t="shared" ca="1" si="8"/>
        <v/>
      </c>
      <c r="N74" s="73"/>
    </row>
    <row r="75" spans="1:14" ht="21" customHeight="1" thickTop="1" thickBot="1" x14ac:dyDescent="0.35">
      <c r="A75" s="10" t="str">
        <f>IF(الجدول1[[#This Row],[اسم العميل]]="", "", ROWS($A$12:الجدول1[[#This Row],[اسم العميل]]))</f>
        <v/>
      </c>
      <c r="B75" s="4"/>
      <c r="C75" s="4"/>
      <c r="D75" s="11"/>
      <c r="E75" s="4"/>
      <c r="F75" s="12"/>
      <c r="G75" s="15" t="str">
        <f t="shared" ca="1" si="6"/>
        <v/>
      </c>
      <c r="H75" s="4"/>
      <c r="I75" s="4"/>
      <c r="J75" s="4"/>
      <c r="K75" s="55" t="str">
        <f t="shared" si="7"/>
        <v/>
      </c>
      <c r="L75" s="90"/>
      <c r="M75" s="48" t="str">
        <f t="shared" ca="1" si="8"/>
        <v/>
      </c>
      <c r="N75" s="73"/>
    </row>
    <row r="76" spans="1:14" ht="21" customHeight="1" thickTop="1" thickBot="1" x14ac:dyDescent="0.35">
      <c r="A76" s="10" t="str">
        <f>IF(الجدول1[[#This Row],[اسم العميل]]="", "", ROWS($A$12:الجدول1[[#This Row],[اسم العميل]]))</f>
        <v/>
      </c>
      <c r="B76" s="4"/>
      <c r="C76" s="4"/>
      <c r="D76" s="11"/>
      <c r="E76" s="4"/>
      <c r="F76" s="12"/>
      <c r="G76" s="15" t="str">
        <f t="shared" ref="G76:G107" ca="1" si="9">IF(F76="","",MIN(90,TODAY()-F76))</f>
        <v/>
      </c>
      <c r="H76" s="4"/>
      <c r="I76" s="4"/>
      <c r="J76" s="4"/>
      <c r="K76" s="55" t="str">
        <f t="shared" ref="K76:K107" si="10">IF(J76="", "", J76-I76)</f>
        <v/>
      </c>
      <c r="L76" s="90"/>
      <c r="M76" s="48" t="str">
        <f t="shared" ref="M76:M107" ca="1" si="11">IF(L76="تم الإرسال", "✅ تم الإرسال بنجاح", IF(OR(G76="", G76&lt;80), "", HYPERLINK("https://wa.me/" &amp; D76 &amp; "?text=عزيزنا " &amp; B76 &amp; "، نود تنبيهكم أن مدة تأشيرة العمرة أوشكت على الانتهاء، المتبقي لكم " &amp; (90-G76) &amp; " يوم فقط. نسأل الله تقبل عمرتكم. دمتم بخير - " &amp; E76, "إرسال رسالة")))</f>
        <v/>
      </c>
      <c r="N76" s="73"/>
    </row>
    <row r="77" spans="1:14" ht="21" customHeight="1" thickTop="1" thickBot="1" x14ac:dyDescent="0.35">
      <c r="A77" s="10" t="str">
        <f>IF(الجدول1[[#This Row],[اسم العميل]]="", "", ROWS($A$12:الجدول1[[#This Row],[اسم العميل]]))</f>
        <v/>
      </c>
      <c r="B77" s="4"/>
      <c r="C77" s="4"/>
      <c r="D77" s="11"/>
      <c r="E77" s="4"/>
      <c r="F77" s="12"/>
      <c r="G77" s="15" t="str">
        <f t="shared" ca="1" si="9"/>
        <v/>
      </c>
      <c r="H77" s="4"/>
      <c r="I77" s="4"/>
      <c r="J77" s="4"/>
      <c r="K77" s="55" t="str">
        <f t="shared" si="10"/>
        <v/>
      </c>
      <c r="L77" s="90"/>
      <c r="M77" s="48" t="str">
        <f t="shared" ca="1" si="11"/>
        <v/>
      </c>
      <c r="N77" s="73"/>
    </row>
    <row r="78" spans="1:14" ht="21" customHeight="1" thickTop="1" thickBot="1" x14ac:dyDescent="0.35">
      <c r="A78" s="10" t="str">
        <f>IF(الجدول1[[#This Row],[اسم العميل]]="", "", ROWS($A$12:الجدول1[[#This Row],[اسم العميل]]))</f>
        <v/>
      </c>
      <c r="B78" s="4"/>
      <c r="C78" s="4"/>
      <c r="D78" s="11"/>
      <c r="E78" s="4"/>
      <c r="F78" s="12"/>
      <c r="G78" s="15" t="str">
        <f t="shared" ca="1" si="9"/>
        <v/>
      </c>
      <c r="H78" s="4"/>
      <c r="I78" s="4"/>
      <c r="J78" s="4"/>
      <c r="K78" s="55" t="str">
        <f t="shared" si="10"/>
        <v/>
      </c>
      <c r="L78" s="90"/>
      <c r="M78" s="48" t="str">
        <f t="shared" ca="1" si="11"/>
        <v/>
      </c>
      <c r="N78" s="73"/>
    </row>
    <row r="79" spans="1:14" ht="21" customHeight="1" thickTop="1" thickBot="1" x14ac:dyDescent="0.35">
      <c r="A79" s="10" t="str">
        <f>IF(الجدول1[[#This Row],[اسم العميل]]="", "", ROWS($A$12:الجدول1[[#This Row],[اسم العميل]]))</f>
        <v/>
      </c>
      <c r="B79" s="4"/>
      <c r="C79" s="4"/>
      <c r="D79" s="11"/>
      <c r="E79" s="4"/>
      <c r="F79" s="12"/>
      <c r="G79" s="15" t="str">
        <f t="shared" ca="1" si="9"/>
        <v/>
      </c>
      <c r="H79" s="4"/>
      <c r="I79" s="4"/>
      <c r="J79" s="4"/>
      <c r="K79" s="55" t="str">
        <f t="shared" si="10"/>
        <v/>
      </c>
      <c r="L79" s="90"/>
      <c r="M79" s="48" t="str">
        <f t="shared" ca="1" si="11"/>
        <v/>
      </c>
      <c r="N79" s="73"/>
    </row>
    <row r="80" spans="1:14" ht="21" customHeight="1" thickTop="1" thickBot="1" x14ac:dyDescent="0.35">
      <c r="A80" s="10" t="str">
        <f>IF(الجدول1[[#This Row],[اسم العميل]]="", "", ROWS($A$12:الجدول1[[#This Row],[اسم العميل]]))</f>
        <v/>
      </c>
      <c r="B80" s="4"/>
      <c r="C80" s="4"/>
      <c r="D80" s="11"/>
      <c r="E80" s="4"/>
      <c r="F80" s="12"/>
      <c r="G80" s="15" t="str">
        <f t="shared" ca="1" si="9"/>
        <v/>
      </c>
      <c r="H80" s="4"/>
      <c r="I80" s="4"/>
      <c r="J80" s="4"/>
      <c r="K80" s="55" t="str">
        <f t="shared" si="10"/>
        <v/>
      </c>
      <c r="L80" s="90"/>
      <c r="M80" s="48" t="str">
        <f t="shared" ca="1" si="11"/>
        <v/>
      </c>
      <c r="N80" s="73"/>
    </row>
    <row r="81" spans="1:14" ht="21" customHeight="1" thickTop="1" thickBot="1" x14ac:dyDescent="0.35">
      <c r="A81" s="10" t="str">
        <f>IF(الجدول1[[#This Row],[اسم العميل]]="", "", ROWS($A$12:الجدول1[[#This Row],[اسم العميل]]))</f>
        <v/>
      </c>
      <c r="B81" s="4"/>
      <c r="C81" s="4"/>
      <c r="D81" s="11"/>
      <c r="E81" s="4"/>
      <c r="F81" s="12"/>
      <c r="G81" s="15" t="str">
        <f t="shared" ca="1" si="9"/>
        <v/>
      </c>
      <c r="H81" s="4"/>
      <c r="I81" s="4"/>
      <c r="J81" s="4"/>
      <c r="K81" s="55" t="str">
        <f t="shared" si="10"/>
        <v/>
      </c>
      <c r="L81" s="90"/>
      <c r="M81" s="48" t="str">
        <f t="shared" ca="1" si="11"/>
        <v/>
      </c>
      <c r="N81" s="73"/>
    </row>
    <row r="82" spans="1:14" ht="21" customHeight="1" thickTop="1" thickBot="1" x14ac:dyDescent="0.35">
      <c r="A82" s="10" t="str">
        <f>IF(الجدول1[[#This Row],[اسم العميل]]="", "", ROWS($A$12:الجدول1[[#This Row],[اسم العميل]]))</f>
        <v/>
      </c>
      <c r="B82" s="4"/>
      <c r="C82" s="4"/>
      <c r="D82" s="11"/>
      <c r="E82" s="4"/>
      <c r="F82" s="12"/>
      <c r="G82" s="15" t="str">
        <f t="shared" ca="1" si="9"/>
        <v/>
      </c>
      <c r="H82" s="4"/>
      <c r="I82" s="4"/>
      <c r="J82" s="4"/>
      <c r="K82" s="55" t="str">
        <f t="shared" si="10"/>
        <v/>
      </c>
      <c r="L82" s="90"/>
      <c r="M82" s="48" t="str">
        <f t="shared" ca="1" si="11"/>
        <v/>
      </c>
      <c r="N82" s="73"/>
    </row>
    <row r="83" spans="1:14" ht="21" customHeight="1" thickTop="1" thickBot="1" x14ac:dyDescent="0.35">
      <c r="A83" s="10" t="str">
        <f>IF(الجدول1[[#This Row],[اسم العميل]]="", "", ROWS($A$12:الجدول1[[#This Row],[اسم العميل]]))</f>
        <v/>
      </c>
      <c r="B83" s="4"/>
      <c r="C83" s="4"/>
      <c r="D83" s="11"/>
      <c r="E83" s="4"/>
      <c r="F83" s="12"/>
      <c r="G83" s="15" t="str">
        <f t="shared" ca="1" si="9"/>
        <v/>
      </c>
      <c r="H83" s="4"/>
      <c r="I83" s="4"/>
      <c r="J83" s="4"/>
      <c r="K83" s="55" t="str">
        <f t="shared" si="10"/>
        <v/>
      </c>
      <c r="L83" s="90"/>
      <c r="M83" s="48" t="str">
        <f t="shared" ca="1" si="11"/>
        <v/>
      </c>
      <c r="N83" s="73"/>
    </row>
    <row r="84" spans="1:14" ht="21" customHeight="1" thickTop="1" thickBot="1" x14ac:dyDescent="0.35">
      <c r="A84" s="10" t="str">
        <f>IF(الجدول1[[#This Row],[اسم العميل]]="", "", ROWS($A$12:الجدول1[[#This Row],[اسم العميل]]))</f>
        <v/>
      </c>
      <c r="B84" s="4"/>
      <c r="C84" s="4"/>
      <c r="D84" s="11"/>
      <c r="E84" s="4"/>
      <c r="F84" s="12"/>
      <c r="G84" s="15" t="str">
        <f t="shared" ca="1" si="9"/>
        <v/>
      </c>
      <c r="H84" s="4"/>
      <c r="I84" s="4"/>
      <c r="J84" s="4"/>
      <c r="K84" s="55" t="str">
        <f t="shared" si="10"/>
        <v/>
      </c>
      <c r="L84" s="90"/>
      <c r="M84" s="48" t="str">
        <f t="shared" ca="1" si="11"/>
        <v/>
      </c>
      <c r="N84" s="73"/>
    </row>
    <row r="85" spans="1:14" ht="21" customHeight="1" thickTop="1" thickBot="1" x14ac:dyDescent="0.35">
      <c r="A85" s="10" t="str">
        <f>IF(الجدول1[[#This Row],[اسم العميل]]="", "", ROWS($A$12:الجدول1[[#This Row],[اسم العميل]]))</f>
        <v/>
      </c>
      <c r="B85" s="4"/>
      <c r="C85" s="4"/>
      <c r="D85" s="11"/>
      <c r="E85" s="4"/>
      <c r="F85" s="12"/>
      <c r="G85" s="15" t="str">
        <f t="shared" ca="1" si="9"/>
        <v/>
      </c>
      <c r="H85" s="4"/>
      <c r="I85" s="4"/>
      <c r="J85" s="4"/>
      <c r="K85" s="55" t="str">
        <f t="shared" si="10"/>
        <v/>
      </c>
      <c r="L85" s="90"/>
      <c r="M85" s="48" t="str">
        <f t="shared" ca="1" si="11"/>
        <v/>
      </c>
      <c r="N85" s="73"/>
    </row>
    <row r="86" spans="1:14" ht="21" customHeight="1" thickTop="1" thickBot="1" x14ac:dyDescent="0.35">
      <c r="A86" s="10" t="str">
        <f>IF(الجدول1[[#This Row],[اسم العميل]]="", "", ROWS($A$12:الجدول1[[#This Row],[اسم العميل]]))</f>
        <v/>
      </c>
      <c r="B86" s="4"/>
      <c r="C86" s="4"/>
      <c r="D86" s="11"/>
      <c r="E86" s="4"/>
      <c r="F86" s="12"/>
      <c r="G86" s="15" t="str">
        <f t="shared" ca="1" si="9"/>
        <v/>
      </c>
      <c r="H86" s="4"/>
      <c r="I86" s="4"/>
      <c r="J86" s="4"/>
      <c r="K86" s="55" t="str">
        <f t="shared" si="10"/>
        <v/>
      </c>
      <c r="L86" s="90"/>
      <c r="M86" s="48" t="str">
        <f t="shared" ca="1" si="11"/>
        <v/>
      </c>
      <c r="N86" s="73"/>
    </row>
    <row r="87" spans="1:14" ht="21" customHeight="1" thickTop="1" thickBot="1" x14ac:dyDescent="0.35">
      <c r="A87" s="10" t="str">
        <f>IF(الجدول1[[#This Row],[اسم العميل]]="", "", ROWS($A$12:الجدول1[[#This Row],[اسم العميل]]))</f>
        <v/>
      </c>
      <c r="B87" s="4"/>
      <c r="C87" s="4"/>
      <c r="D87" s="11"/>
      <c r="E87" s="4"/>
      <c r="F87" s="12"/>
      <c r="G87" s="15" t="str">
        <f t="shared" ca="1" si="9"/>
        <v/>
      </c>
      <c r="H87" s="4"/>
      <c r="I87" s="4"/>
      <c r="J87" s="4"/>
      <c r="K87" s="55" t="str">
        <f t="shared" si="10"/>
        <v/>
      </c>
      <c r="L87" s="90"/>
      <c r="M87" s="48" t="str">
        <f t="shared" ca="1" si="11"/>
        <v/>
      </c>
      <c r="N87" s="73"/>
    </row>
    <row r="88" spans="1:14" ht="21" customHeight="1" thickTop="1" thickBot="1" x14ac:dyDescent="0.35">
      <c r="A88" s="10" t="str">
        <f>IF(الجدول1[[#This Row],[اسم العميل]]="", "", ROWS($A$12:الجدول1[[#This Row],[اسم العميل]]))</f>
        <v/>
      </c>
      <c r="B88" s="4"/>
      <c r="C88" s="4"/>
      <c r="D88" s="11"/>
      <c r="E88" s="4"/>
      <c r="F88" s="12"/>
      <c r="G88" s="15" t="str">
        <f t="shared" ca="1" si="9"/>
        <v/>
      </c>
      <c r="H88" s="4"/>
      <c r="I88" s="4"/>
      <c r="J88" s="4"/>
      <c r="K88" s="55" t="str">
        <f t="shared" si="10"/>
        <v/>
      </c>
      <c r="L88" s="90"/>
      <c r="M88" s="48" t="str">
        <f t="shared" ca="1" si="11"/>
        <v/>
      </c>
      <c r="N88" s="73"/>
    </row>
    <row r="89" spans="1:14" ht="21" customHeight="1" thickTop="1" thickBot="1" x14ac:dyDescent="0.35">
      <c r="A89" s="10" t="str">
        <f>IF(الجدول1[[#This Row],[اسم العميل]]="", "", ROWS($A$12:الجدول1[[#This Row],[اسم العميل]]))</f>
        <v/>
      </c>
      <c r="B89" s="4"/>
      <c r="C89" s="4"/>
      <c r="D89" s="11"/>
      <c r="E89" s="4"/>
      <c r="F89" s="12"/>
      <c r="G89" s="15" t="str">
        <f t="shared" ca="1" si="9"/>
        <v/>
      </c>
      <c r="H89" s="4"/>
      <c r="I89" s="4"/>
      <c r="J89" s="4"/>
      <c r="K89" s="55" t="str">
        <f t="shared" si="10"/>
        <v/>
      </c>
      <c r="L89" s="90"/>
      <c r="M89" s="48" t="str">
        <f t="shared" ca="1" si="11"/>
        <v/>
      </c>
      <c r="N89" s="73"/>
    </row>
    <row r="90" spans="1:14" ht="21" customHeight="1" thickTop="1" thickBot="1" x14ac:dyDescent="0.35">
      <c r="A90" s="10" t="str">
        <f>IF(الجدول1[[#This Row],[اسم العميل]]="", "", ROWS($A$12:الجدول1[[#This Row],[اسم العميل]]))</f>
        <v/>
      </c>
      <c r="B90" s="4"/>
      <c r="C90" s="4"/>
      <c r="D90" s="11"/>
      <c r="E90" s="4"/>
      <c r="F90" s="12"/>
      <c r="G90" s="15" t="str">
        <f t="shared" ca="1" si="9"/>
        <v/>
      </c>
      <c r="H90" s="4"/>
      <c r="I90" s="4"/>
      <c r="J90" s="4"/>
      <c r="K90" s="55" t="str">
        <f t="shared" si="10"/>
        <v/>
      </c>
      <c r="L90" s="90"/>
      <c r="M90" s="48" t="str">
        <f t="shared" ca="1" si="11"/>
        <v/>
      </c>
      <c r="N90" s="73"/>
    </row>
    <row r="91" spans="1:14" ht="21" customHeight="1" thickTop="1" thickBot="1" x14ac:dyDescent="0.35">
      <c r="A91" s="10" t="str">
        <f>IF(الجدول1[[#This Row],[اسم العميل]]="", "", ROWS($A$12:الجدول1[[#This Row],[اسم العميل]]))</f>
        <v/>
      </c>
      <c r="B91" s="4"/>
      <c r="C91" s="4"/>
      <c r="D91" s="11"/>
      <c r="E91" s="4"/>
      <c r="F91" s="12"/>
      <c r="G91" s="15" t="str">
        <f t="shared" ca="1" si="9"/>
        <v/>
      </c>
      <c r="H91" s="4"/>
      <c r="I91" s="4"/>
      <c r="J91" s="4"/>
      <c r="K91" s="55" t="str">
        <f t="shared" si="10"/>
        <v/>
      </c>
      <c r="L91" s="90"/>
      <c r="M91" s="48" t="str">
        <f t="shared" ca="1" si="11"/>
        <v/>
      </c>
      <c r="N91" s="73"/>
    </row>
    <row r="92" spans="1:14" ht="21" customHeight="1" thickTop="1" thickBot="1" x14ac:dyDescent="0.35">
      <c r="A92" s="10" t="str">
        <f>IF(الجدول1[[#This Row],[اسم العميل]]="", "", ROWS($A$12:الجدول1[[#This Row],[اسم العميل]]))</f>
        <v/>
      </c>
      <c r="B92" s="4"/>
      <c r="C92" s="4"/>
      <c r="D92" s="11"/>
      <c r="E92" s="4"/>
      <c r="F92" s="12"/>
      <c r="G92" s="15" t="str">
        <f t="shared" ca="1" si="9"/>
        <v/>
      </c>
      <c r="H92" s="4"/>
      <c r="I92" s="4"/>
      <c r="J92" s="4"/>
      <c r="K92" s="55" t="str">
        <f t="shared" si="10"/>
        <v/>
      </c>
      <c r="L92" s="90"/>
      <c r="M92" s="48" t="str">
        <f t="shared" ca="1" si="11"/>
        <v/>
      </c>
      <c r="N92" s="73"/>
    </row>
    <row r="93" spans="1:14" ht="21" customHeight="1" thickTop="1" thickBot="1" x14ac:dyDescent="0.35">
      <c r="A93" s="10" t="str">
        <f>IF(الجدول1[[#This Row],[اسم العميل]]="", "", ROWS($A$12:الجدول1[[#This Row],[اسم العميل]]))</f>
        <v/>
      </c>
      <c r="B93" s="4"/>
      <c r="C93" s="4"/>
      <c r="D93" s="11"/>
      <c r="E93" s="4"/>
      <c r="F93" s="12"/>
      <c r="G93" s="15" t="str">
        <f t="shared" ca="1" si="9"/>
        <v/>
      </c>
      <c r="H93" s="4"/>
      <c r="I93" s="4"/>
      <c r="J93" s="4"/>
      <c r="K93" s="55" t="str">
        <f t="shared" si="10"/>
        <v/>
      </c>
      <c r="L93" s="90"/>
      <c r="M93" s="48" t="str">
        <f t="shared" ca="1" si="11"/>
        <v/>
      </c>
      <c r="N93" s="73"/>
    </row>
    <row r="94" spans="1:14" ht="21" customHeight="1" thickTop="1" thickBot="1" x14ac:dyDescent="0.35">
      <c r="A94" s="10" t="str">
        <f>IF(الجدول1[[#This Row],[اسم العميل]]="", "", ROWS($A$12:الجدول1[[#This Row],[اسم العميل]]))</f>
        <v/>
      </c>
      <c r="B94" s="4"/>
      <c r="C94" s="4"/>
      <c r="D94" s="11"/>
      <c r="E94" s="4"/>
      <c r="F94" s="12"/>
      <c r="G94" s="15" t="str">
        <f t="shared" ca="1" si="9"/>
        <v/>
      </c>
      <c r="H94" s="4"/>
      <c r="I94" s="4"/>
      <c r="J94" s="4"/>
      <c r="K94" s="55" t="str">
        <f t="shared" si="10"/>
        <v/>
      </c>
      <c r="L94" s="90"/>
      <c r="M94" s="48" t="str">
        <f t="shared" ca="1" si="11"/>
        <v/>
      </c>
      <c r="N94" s="73"/>
    </row>
    <row r="95" spans="1:14" ht="21" customHeight="1" thickTop="1" thickBot="1" x14ac:dyDescent="0.35">
      <c r="A95" s="10" t="str">
        <f>IF(الجدول1[[#This Row],[اسم العميل]]="", "", ROWS($A$12:الجدول1[[#This Row],[اسم العميل]]))</f>
        <v/>
      </c>
      <c r="B95" s="4"/>
      <c r="C95" s="4"/>
      <c r="D95" s="11"/>
      <c r="E95" s="4"/>
      <c r="F95" s="12"/>
      <c r="G95" s="15" t="str">
        <f t="shared" ca="1" si="9"/>
        <v/>
      </c>
      <c r="H95" s="4"/>
      <c r="I95" s="4"/>
      <c r="J95" s="4"/>
      <c r="K95" s="55" t="str">
        <f t="shared" si="10"/>
        <v/>
      </c>
      <c r="L95" s="90"/>
      <c r="M95" s="48" t="str">
        <f t="shared" ca="1" si="11"/>
        <v/>
      </c>
      <c r="N95" s="73"/>
    </row>
    <row r="96" spans="1:14" ht="21" customHeight="1" thickTop="1" thickBot="1" x14ac:dyDescent="0.35">
      <c r="A96" s="10" t="str">
        <f>IF(الجدول1[[#This Row],[اسم العميل]]="", "", ROWS($A$12:الجدول1[[#This Row],[اسم العميل]]))</f>
        <v/>
      </c>
      <c r="B96" s="4"/>
      <c r="C96" s="4"/>
      <c r="D96" s="11"/>
      <c r="E96" s="4"/>
      <c r="F96" s="12"/>
      <c r="G96" s="15" t="str">
        <f t="shared" ca="1" si="9"/>
        <v/>
      </c>
      <c r="H96" s="4"/>
      <c r="I96" s="4"/>
      <c r="J96" s="4"/>
      <c r="K96" s="55" t="str">
        <f t="shared" si="10"/>
        <v/>
      </c>
      <c r="L96" s="90"/>
      <c r="M96" s="48" t="str">
        <f t="shared" ca="1" si="11"/>
        <v/>
      </c>
      <c r="N96" s="73"/>
    </row>
    <row r="97" spans="1:14" ht="21" customHeight="1" thickTop="1" thickBot="1" x14ac:dyDescent="0.35">
      <c r="A97" s="10" t="str">
        <f>IF(الجدول1[[#This Row],[اسم العميل]]="", "", ROWS($A$12:الجدول1[[#This Row],[اسم العميل]]))</f>
        <v/>
      </c>
      <c r="B97" s="4"/>
      <c r="C97" s="4"/>
      <c r="D97" s="11"/>
      <c r="E97" s="4"/>
      <c r="F97" s="12"/>
      <c r="G97" s="15" t="str">
        <f t="shared" ca="1" si="9"/>
        <v/>
      </c>
      <c r="H97" s="4"/>
      <c r="I97" s="4"/>
      <c r="J97" s="4"/>
      <c r="K97" s="55" t="str">
        <f t="shared" si="10"/>
        <v/>
      </c>
      <c r="L97" s="90"/>
      <c r="M97" s="48" t="str">
        <f t="shared" ca="1" si="11"/>
        <v/>
      </c>
      <c r="N97" s="73"/>
    </row>
    <row r="98" spans="1:14" ht="21" customHeight="1" thickTop="1" thickBot="1" x14ac:dyDescent="0.35">
      <c r="A98" s="10" t="str">
        <f>IF(الجدول1[[#This Row],[اسم العميل]]="", "", ROWS($A$12:الجدول1[[#This Row],[اسم العميل]]))</f>
        <v/>
      </c>
      <c r="B98" s="4"/>
      <c r="C98" s="4"/>
      <c r="D98" s="11"/>
      <c r="E98" s="4"/>
      <c r="F98" s="12"/>
      <c r="G98" s="15" t="str">
        <f t="shared" ca="1" si="9"/>
        <v/>
      </c>
      <c r="H98" s="4"/>
      <c r="I98" s="4"/>
      <c r="J98" s="4"/>
      <c r="K98" s="55" t="str">
        <f t="shared" si="10"/>
        <v/>
      </c>
      <c r="L98" s="90"/>
      <c r="M98" s="48" t="str">
        <f t="shared" ca="1" si="11"/>
        <v/>
      </c>
      <c r="N98" s="73"/>
    </row>
    <row r="99" spans="1:14" ht="21" customHeight="1" thickTop="1" thickBot="1" x14ac:dyDescent="0.35">
      <c r="A99" s="10" t="str">
        <f>IF(الجدول1[[#This Row],[اسم العميل]]="", "", ROWS($A$12:الجدول1[[#This Row],[اسم العميل]]))</f>
        <v/>
      </c>
      <c r="B99" s="4"/>
      <c r="C99" s="4"/>
      <c r="D99" s="11"/>
      <c r="E99" s="4"/>
      <c r="F99" s="12"/>
      <c r="G99" s="15" t="str">
        <f t="shared" ca="1" si="9"/>
        <v/>
      </c>
      <c r="H99" s="4"/>
      <c r="I99" s="4"/>
      <c r="J99" s="4"/>
      <c r="K99" s="55" t="str">
        <f t="shared" si="10"/>
        <v/>
      </c>
      <c r="L99" s="90"/>
      <c r="M99" s="48" t="str">
        <f t="shared" ca="1" si="11"/>
        <v/>
      </c>
      <c r="N99" s="73"/>
    </row>
    <row r="100" spans="1:14" ht="21" customHeight="1" thickTop="1" thickBot="1" x14ac:dyDescent="0.35">
      <c r="A100" s="10" t="str">
        <f>IF(الجدول1[[#This Row],[اسم العميل]]="", "", ROWS($A$12:الجدول1[[#This Row],[اسم العميل]]))</f>
        <v/>
      </c>
      <c r="B100" s="4"/>
      <c r="C100" s="4"/>
      <c r="D100" s="11"/>
      <c r="E100" s="4"/>
      <c r="F100" s="12"/>
      <c r="G100" s="15" t="str">
        <f t="shared" ca="1" si="9"/>
        <v/>
      </c>
      <c r="H100" s="4"/>
      <c r="I100" s="4"/>
      <c r="J100" s="4"/>
      <c r="K100" s="55" t="str">
        <f t="shared" si="10"/>
        <v/>
      </c>
      <c r="L100" s="90"/>
      <c r="M100" s="48" t="str">
        <f t="shared" ca="1" si="11"/>
        <v/>
      </c>
      <c r="N100" s="73"/>
    </row>
    <row r="101" spans="1:14" ht="21" customHeight="1" thickTop="1" thickBot="1" x14ac:dyDescent="0.35">
      <c r="A101" s="10" t="str">
        <f>IF(الجدول1[[#This Row],[اسم العميل]]="", "", ROWS($A$12:الجدول1[[#This Row],[اسم العميل]]))</f>
        <v/>
      </c>
      <c r="B101" s="4"/>
      <c r="C101" s="4"/>
      <c r="D101" s="11"/>
      <c r="E101" s="4"/>
      <c r="F101" s="12"/>
      <c r="G101" s="15" t="str">
        <f t="shared" ca="1" si="9"/>
        <v/>
      </c>
      <c r="H101" s="4"/>
      <c r="I101" s="4"/>
      <c r="J101" s="4"/>
      <c r="K101" s="55" t="str">
        <f t="shared" si="10"/>
        <v/>
      </c>
      <c r="L101" s="90"/>
      <c r="M101" s="48" t="str">
        <f t="shared" ca="1" si="11"/>
        <v/>
      </c>
      <c r="N101" s="73"/>
    </row>
    <row r="102" spans="1:14" ht="21" customHeight="1" thickTop="1" thickBot="1" x14ac:dyDescent="0.35">
      <c r="A102" s="10" t="str">
        <f>IF(الجدول1[[#This Row],[اسم العميل]]="", "", ROWS($A$12:الجدول1[[#This Row],[اسم العميل]]))</f>
        <v/>
      </c>
      <c r="B102" s="4"/>
      <c r="C102" s="4"/>
      <c r="D102" s="11"/>
      <c r="E102" s="4"/>
      <c r="F102" s="12"/>
      <c r="G102" s="15" t="str">
        <f t="shared" ca="1" si="9"/>
        <v/>
      </c>
      <c r="H102" s="4"/>
      <c r="I102" s="4"/>
      <c r="J102" s="4"/>
      <c r="K102" s="55" t="str">
        <f t="shared" si="10"/>
        <v/>
      </c>
      <c r="L102" s="90"/>
      <c r="M102" s="48" t="str">
        <f t="shared" ca="1" si="11"/>
        <v/>
      </c>
      <c r="N102" s="73"/>
    </row>
    <row r="103" spans="1:14" ht="21" customHeight="1" thickTop="1" thickBot="1" x14ac:dyDescent="0.35">
      <c r="A103" s="10" t="str">
        <f>IF(الجدول1[[#This Row],[اسم العميل]]="", "", ROWS($A$12:الجدول1[[#This Row],[اسم العميل]]))</f>
        <v/>
      </c>
      <c r="B103" s="4"/>
      <c r="C103" s="4"/>
      <c r="D103" s="11"/>
      <c r="E103" s="4"/>
      <c r="F103" s="12"/>
      <c r="G103" s="15" t="str">
        <f t="shared" ca="1" si="9"/>
        <v/>
      </c>
      <c r="H103" s="4"/>
      <c r="I103" s="4"/>
      <c r="J103" s="4"/>
      <c r="K103" s="55" t="str">
        <f t="shared" si="10"/>
        <v/>
      </c>
      <c r="L103" s="90"/>
      <c r="M103" s="48" t="str">
        <f t="shared" ca="1" si="11"/>
        <v/>
      </c>
      <c r="N103" s="73"/>
    </row>
    <row r="104" spans="1:14" ht="21" customHeight="1" thickTop="1" thickBot="1" x14ac:dyDescent="0.35">
      <c r="A104" s="10" t="str">
        <f>IF(الجدول1[[#This Row],[اسم العميل]]="", "", ROWS($A$12:الجدول1[[#This Row],[اسم العميل]]))</f>
        <v/>
      </c>
      <c r="B104" s="4"/>
      <c r="C104" s="4"/>
      <c r="D104" s="11"/>
      <c r="E104" s="4"/>
      <c r="F104" s="12"/>
      <c r="G104" s="15" t="str">
        <f t="shared" ca="1" si="9"/>
        <v/>
      </c>
      <c r="H104" s="4"/>
      <c r="I104" s="4"/>
      <c r="J104" s="4"/>
      <c r="K104" s="55" t="str">
        <f t="shared" si="10"/>
        <v/>
      </c>
      <c r="L104" s="90"/>
      <c r="M104" s="48" t="str">
        <f t="shared" ca="1" si="11"/>
        <v/>
      </c>
      <c r="N104" s="73"/>
    </row>
    <row r="105" spans="1:14" ht="21" customHeight="1" thickTop="1" thickBot="1" x14ac:dyDescent="0.35">
      <c r="A105" s="10" t="str">
        <f>IF(الجدول1[[#This Row],[اسم العميل]]="", "", ROWS($A$12:الجدول1[[#This Row],[اسم العميل]]))</f>
        <v/>
      </c>
      <c r="B105" s="4"/>
      <c r="C105" s="4"/>
      <c r="D105" s="11"/>
      <c r="E105" s="4"/>
      <c r="F105" s="12"/>
      <c r="G105" s="15" t="str">
        <f t="shared" ca="1" si="9"/>
        <v/>
      </c>
      <c r="H105" s="4"/>
      <c r="I105" s="4"/>
      <c r="J105" s="4"/>
      <c r="K105" s="55" t="str">
        <f t="shared" si="10"/>
        <v/>
      </c>
      <c r="L105" s="90"/>
      <c r="M105" s="48" t="str">
        <f t="shared" ca="1" si="11"/>
        <v/>
      </c>
      <c r="N105" s="73"/>
    </row>
    <row r="106" spans="1:14" ht="21" customHeight="1" thickTop="1" thickBot="1" x14ac:dyDescent="0.35">
      <c r="A106" s="14" t="str">
        <f>IF(الجدول1[[#This Row],[اسم العميل]]="", "", ROWS($A$12:الجدول1[[#This Row],[اسم العميل]]))</f>
        <v/>
      </c>
      <c r="B106" s="4"/>
      <c r="C106" s="4"/>
      <c r="D106" s="11"/>
      <c r="E106" s="4"/>
      <c r="F106" s="12"/>
      <c r="G106" s="15" t="str">
        <f t="shared" ca="1" si="9"/>
        <v/>
      </c>
      <c r="H106" s="4"/>
      <c r="I106" s="4"/>
      <c r="J106" s="4"/>
      <c r="K106" s="55" t="str">
        <f t="shared" si="10"/>
        <v/>
      </c>
      <c r="L106" s="90"/>
      <c r="M106" s="48" t="str">
        <f t="shared" ca="1" si="11"/>
        <v/>
      </c>
      <c r="N106" s="78"/>
    </row>
    <row r="107" spans="1:14" ht="21" customHeight="1" thickTop="1" thickBot="1" x14ac:dyDescent="0.35">
      <c r="A107" s="14" t="str">
        <f>IF(الجدول1[[#This Row],[اسم العميل]]="", "", ROWS($A$12:الجدول1[[#This Row],[اسم العميل]]))</f>
        <v/>
      </c>
      <c r="B107" s="4"/>
      <c r="C107" s="4"/>
      <c r="D107" s="11"/>
      <c r="E107" s="4"/>
      <c r="F107" s="12"/>
      <c r="G107" s="15" t="str">
        <f t="shared" ca="1" si="9"/>
        <v/>
      </c>
      <c r="H107" s="4"/>
      <c r="I107" s="4"/>
      <c r="J107" s="4"/>
      <c r="K107" s="55" t="str">
        <f t="shared" si="10"/>
        <v/>
      </c>
      <c r="L107" s="90"/>
      <c r="M107" s="49" t="str">
        <f t="shared" ca="1" si="11"/>
        <v/>
      </c>
    </row>
    <row r="108" spans="1:14" ht="21" customHeight="1" thickTop="1" thickBot="1" x14ac:dyDescent="0.35">
      <c r="A108" s="14" t="str">
        <f>IF(الجدول1[[#This Row],[اسم العميل]]="", "", ROWS($A$12:الجدول1[[#This Row],[اسم العميل]]))</f>
        <v/>
      </c>
      <c r="B108" s="4"/>
      <c r="C108" s="4"/>
      <c r="D108" s="11"/>
      <c r="E108" s="4"/>
      <c r="F108" s="12"/>
      <c r="G108" s="15" t="str">
        <f t="shared" ref="G108:G111" ca="1" si="12">IF(F108="","",MIN(90,TODAY()-F108))</f>
        <v/>
      </c>
      <c r="H108" s="13"/>
      <c r="I108" s="4"/>
      <c r="J108" s="4"/>
      <c r="K108" s="55" t="str">
        <f t="shared" ref="K108:K111" si="13">IF(J108="", "", J108-I108)</f>
        <v/>
      </c>
      <c r="L108" s="90"/>
      <c r="M108" s="49" t="str">
        <f t="shared" ref="M108:M111" ca="1" si="14">IF(L108="تم الإرسال", "✅ تم الإرسال بنجاح", IF(OR(G108="", G108&lt;80), "", HYPERLINK("https://wa.me/" &amp; D108 &amp; "?text=عزيزنا " &amp; B108 &amp; "، نود تنبيهكم أن مدة تأشيرة العمرة أوشكت على الانتهاء، المتبقي لكم " &amp; (90-G108) &amp; " يوم فقط. نسأل الله تقبل عمرتكم. دمتم بخير - " &amp; E108, "إرسال رسالة")))</f>
        <v/>
      </c>
    </row>
    <row r="109" spans="1:14" ht="21" customHeight="1" thickTop="1" thickBot="1" x14ac:dyDescent="0.35">
      <c r="A109" s="14" t="str">
        <f>IF(الجدول1[[#This Row],[اسم العميل]]="", "", ROWS($A$12:الجدول1[[#This Row],[اسم العميل]]))</f>
        <v/>
      </c>
      <c r="B109" s="4"/>
      <c r="C109" s="4"/>
      <c r="D109" s="11"/>
      <c r="E109" s="4"/>
      <c r="F109" s="12"/>
      <c r="G109" s="15" t="str">
        <f t="shared" ca="1" si="12"/>
        <v/>
      </c>
      <c r="H109" s="4"/>
      <c r="I109" s="4"/>
      <c r="J109" s="4"/>
      <c r="K109" s="55" t="str">
        <f t="shared" si="13"/>
        <v/>
      </c>
      <c r="L109" s="90"/>
      <c r="M109" s="49" t="str">
        <f t="shared" ca="1" si="14"/>
        <v/>
      </c>
    </row>
    <row r="110" spans="1:14" ht="21" customHeight="1" thickTop="1" thickBot="1" x14ac:dyDescent="0.35">
      <c r="A110" s="14" t="str">
        <f>IF(الجدول1[[#This Row],[اسم العميل]]="", "", ROWS($A$12:الجدول1[[#This Row],[اسم العميل]]))</f>
        <v/>
      </c>
      <c r="B110" s="4"/>
      <c r="C110" s="4"/>
      <c r="D110" s="11"/>
      <c r="E110" s="4"/>
      <c r="F110" s="12"/>
      <c r="G110" s="15" t="str">
        <f t="shared" ca="1" si="12"/>
        <v/>
      </c>
      <c r="H110" s="4"/>
      <c r="I110" s="4"/>
      <c r="J110" s="4"/>
      <c r="K110" s="55" t="str">
        <f t="shared" si="13"/>
        <v/>
      </c>
      <c r="L110" s="90"/>
      <c r="M110" s="49" t="str">
        <f t="shared" ca="1" si="14"/>
        <v/>
      </c>
    </row>
    <row r="111" spans="1:14" ht="21" customHeight="1" thickTop="1" thickBot="1" x14ac:dyDescent="0.35">
      <c r="A111" s="88" t="str">
        <f>IF(الجدول1[[#This Row],[اسم العميل]]="", "", ROWS($A$12:الجدول1[[#This Row],[اسم العميل]]))</f>
        <v/>
      </c>
      <c r="B111" s="4"/>
      <c r="C111" s="4"/>
      <c r="D111" s="11"/>
      <c r="E111" s="4"/>
      <c r="F111" s="12"/>
      <c r="G111" s="15" t="str">
        <f t="shared" ca="1" si="12"/>
        <v/>
      </c>
      <c r="H111" s="4"/>
      <c r="I111" s="4"/>
      <c r="J111" s="4"/>
      <c r="K111" s="55" t="str">
        <f t="shared" si="13"/>
        <v/>
      </c>
      <c r="L111" s="90"/>
      <c r="M111" s="91" t="str">
        <f t="shared" ca="1" si="14"/>
        <v/>
      </c>
    </row>
    <row r="112" spans="1:14" ht="21" customHeight="1" thickTop="1" thickBot="1" x14ac:dyDescent="0.35">
      <c r="A112" s="88" t="str">
        <f>IF(الجدول1[[#This Row],[اسم العميل]]="", "", ROWS($A$12:الجدول1[[#This Row],[اسم العميل]]))</f>
        <v/>
      </c>
      <c r="B112" s="4"/>
      <c r="C112" s="4"/>
      <c r="D112" s="11"/>
      <c r="E112" s="4"/>
      <c r="F112" s="12"/>
      <c r="G112" s="15" t="str">
        <f t="shared" ref="G112:G143" ca="1" si="15">IF(F112="","",MIN(90,TODAY()-F112))</f>
        <v/>
      </c>
      <c r="H112" s="4"/>
      <c r="I112" s="4"/>
      <c r="J112" s="4"/>
      <c r="K112" s="55" t="str">
        <f t="shared" ref="K112:K143" si="16">IF(J112="", "", J112-I112)</f>
        <v/>
      </c>
      <c r="L112" s="90"/>
      <c r="M112" s="91" t="str">
        <f t="shared" ref="M112:M143" ca="1" si="17">IF(L112="تم الإرسال", "✅ تم الإرسال بنجاح", IF(OR(G112="", G112&lt;80), "", HYPERLINK("https://wa.me/" &amp; D112 &amp; "?text=عزيزنا " &amp; B112 &amp; "، نود تنبيهكم أن مدة تأشيرة العمرة أوشكت على الانتهاء، المتبقي لكم " &amp; (90-G112) &amp; " يوم فقط. نسأل الله تقبل عمرتكم. دمتم بخير - " &amp; E112, "إرسال رسالة")))</f>
        <v/>
      </c>
    </row>
    <row r="113" spans="1:13" ht="21" customHeight="1" thickTop="1" thickBot="1" x14ac:dyDescent="0.35">
      <c r="A113" s="88" t="str">
        <f>IF(الجدول1[[#This Row],[اسم العميل]]="", "", ROWS($A$12:الجدول1[[#This Row],[اسم العميل]]))</f>
        <v/>
      </c>
      <c r="B113" s="4"/>
      <c r="C113" s="4"/>
      <c r="D113" s="11"/>
      <c r="E113" s="4"/>
      <c r="F113" s="12"/>
      <c r="G113" s="15" t="str">
        <f t="shared" ca="1" si="15"/>
        <v/>
      </c>
      <c r="H113" s="4"/>
      <c r="I113" s="4"/>
      <c r="J113" s="4"/>
      <c r="K113" s="55" t="str">
        <f t="shared" si="16"/>
        <v/>
      </c>
      <c r="L113" s="90"/>
      <c r="M113" s="91" t="str">
        <f t="shared" ca="1" si="17"/>
        <v/>
      </c>
    </row>
    <row r="114" spans="1:13" ht="21" customHeight="1" thickTop="1" thickBot="1" x14ac:dyDescent="0.35">
      <c r="A114" s="88" t="str">
        <f>IF(الجدول1[[#This Row],[اسم العميل]]="", "", ROWS($A$12:الجدول1[[#This Row],[اسم العميل]]))</f>
        <v/>
      </c>
      <c r="B114" s="4"/>
      <c r="C114" s="4"/>
      <c r="D114" s="11"/>
      <c r="E114" s="4"/>
      <c r="F114" s="12"/>
      <c r="G114" s="15" t="str">
        <f t="shared" ca="1" si="15"/>
        <v/>
      </c>
      <c r="H114" s="4"/>
      <c r="I114" s="4"/>
      <c r="J114" s="4"/>
      <c r="K114" s="55" t="str">
        <f t="shared" si="16"/>
        <v/>
      </c>
      <c r="L114" s="90"/>
      <c r="M114" s="91" t="str">
        <f t="shared" ca="1" si="17"/>
        <v/>
      </c>
    </row>
    <row r="115" spans="1:13" ht="21" customHeight="1" thickTop="1" thickBot="1" x14ac:dyDescent="0.35">
      <c r="A115" s="88" t="str">
        <f>IF(الجدول1[[#This Row],[اسم العميل]]="", "", ROWS($A$12:الجدول1[[#This Row],[اسم العميل]]))</f>
        <v/>
      </c>
      <c r="B115" s="4"/>
      <c r="C115" s="4"/>
      <c r="D115" s="11"/>
      <c r="E115" s="4"/>
      <c r="F115" s="12"/>
      <c r="G115" s="15" t="str">
        <f t="shared" ca="1" si="15"/>
        <v/>
      </c>
      <c r="H115" s="4"/>
      <c r="I115" s="4"/>
      <c r="J115" s="4"/>
      <c r="K115" s="55" t="str">
        <f t="shared" si="16"/>
        <v/>
      </c>
      <c r="L115" s="90"/>
      <c r="M115" s="91" t="str">
        <f t="shared" ca="1" si="17"/>
        <v/>
      </c>
    </row>
    <row r="116" spans="1:13" ht="21" customHeight="1" thickTop="1" thickBot="1" x14ac:dyDescent="0.35">
      <c r="A116" s="88" t="str">
        <f>IF(الجدول1[[#This Row],[اسم العميل]]="", "", ROWS($A$12:الجدول1[[#This Row],[اسم العميل]]))</f>
        <v/>
      </c>
      <c r="B116" s="4"/>
      <c r="C116" s="4"/>
      <c r="D116" s="11"/>
      <c r="E116" s="4"/>
      <c r="F116" s="12"/>
      <c r="G116" s="15" t="str">
        <f t="shared" ca="1" si="15"/>
        <v/>
      </c>
      <c r="H116" s="4"/>
      <c r="I116" s="4"/>
      <c r="J116" s="4"/>
      <c r="K116" s="55" t="str">
        <f t="shared" si="16"/>
        <v/>
      </c>
      <c r="L116" s="90"/>
      <c r="M116" s="91" t="str">
        <f t="shared" ca="1" si="17"/>
        <v/>
      </c>
    </row>
    <row r="117" spans="1:13" ht="21" customHeight="1" thickTop="1" thickBot="1" x14ac:dyDescent="0.35">
      <c r="A117" s="88" t="str">
        <f>IF(الجدول1[[#This Row],[اسم العميل]]="", "", ROWS($A$12:الجدول1[[#This Row],[اسم العميل]]))</f>
        <v/>
      </c>
      <c r="B117" s="4"/>
      <c r="C117" s="4"/>
      <c r="D117" s="11"/>
      <c r="E117" s="4"/>
      <c r="F117" s="12"/>
      <c r="G117" s="15" t="str">
        <f t="shared" ca="1" si="15"/>
        <v/>
      </c>
      <c r="H117" s="4"/>
      <c r="I117" s="4"/>
      <c r="J117" s="4"/>
      <c r="K117" s="55" t="str">
        <f t="shared" si="16"/>
        <v/>
      </c>
      <c r="L117" s="90"/>
      <c r="M117" s="91" t="str">
        <f t="shared" ca="1" si="17"/>
        <v/>
      </c>
    </row>
    <row r="118" spans="1:13" ht="21" customHeight="1" thickTop="1" thickBot="1" x14ac:dyDescent="0.35">
      <c r="A118" s="88" t="str">
        <f>IF(الجدول1[[#This Row],[اسم العميل]]="", "", ROWS($A$12:الجدول1[[#This Row],[اسم العميل]]))</f>
        <v/>
      </c>
      <c r="B118" s="4"/>
      <c r="C118" s="4"/>
      <c r="D118" s="11"/>
      <c r="E118" s="4"/>
      <c r="F118" s="12"/>
      <c r="G118" s="15" t="str">
        <f t="shared" ca="1" si="15"/>
        <v/>
      </c>
      <c r="H118" s="4"/>
      <c r="I118" s="4"/>
      <c r="J118" s="4"/>
      <c r="K118" s="55" t="str">
        <f t="shared" si="16"/>
        <v/>
      </c>
      <c r="L118" s="90"/>
      <c r="M118" s="91" t="str">
        <f t="shared" ca="1" si="17"/>
        <v/>
      </c>
    </row>
    <row r="119" spans="1:13" ht="21" customHeight="1" thickTop="1" thickBot="1" x14ac:dyDescent="0.35">
      <c r="A119" s="88" t="str">
        <f>IF(الجدول1[[#This Row],[اسم العميل]]="", "", ROWS($A$12:الجدول1[[#This Row],[اسم العميل]]))</f>
        <v/>
      </c>
      <c r="B119" s="4"/>
      <c r="C119" s="4"/>
      <c r="D119" s="11"/>
      <c r="E119" s="4"/>
      <c r="F119" s="12"/>
      <c r="G119" s="15" t="str">
        <f t="shared" ca="1" si="15"/>
        <v/>
      </c>
      <c r="H119" s="4"/>
      <c r="I119" s="4"/>
      <c r="J119" s="4"/>
      <c r="K119" s="55" t="str">
        <f t="shared" si="16"/>
        <v/>
      </c>
      <c r="L119" s="90"/>
      <c r="M119" s="91" t="str">
        <f t="shared" ca="1" si="17"/>
        <v/>
      </c>
    </row>
    <row r="120" spans="1:13" ht="21" customHeight="1" thickTop="1" thickBot="1" x14ac:dyDescent="0.35">
      <c r="A120" s="88" t="str">
        <f>IF(الجدول1[[#This Row],[اسم العميل]]="", "", ROWS($A$12:الجدول1[[#This Row],[اسم العميل]]))</f>
        <v/>
      </c>
      <c r="B120" s="4"/>
      <c r="C120" s="4"/>
      <c r="D120" s="11"/>
      <c r="E120" s="4"/>
      <c r="F120" s="12"/>
      <c r="G120" s="15" t="str">
        <f t="shared" ca="1" si="15"/>
        <v/>
      </c>
      <c r="H120" s="4"/>
      <c r="I120" s="4"/>
      <c r="J120" s="4"/>
      <c r="K120" s="55" t="str">
        <f t="shared" si="16"/>
        <v/>
      </c>
      <c r="L120" s="90"/>
      <c r="M120" s="91" t="str">
        <f t="shared" ca="1" si="17"/>
        <v/>
      </c>
    </row>
    <row r="121" spans="1:13" ht="21" customHeight="1" thickTop="1" thickBot="1" x14ac:dyDescent="0.35">
      <c r="A121" s="88" t="str">
        <f>IF(الجدول1[[#This Row],[اسم العميل]]="", "", ROWS($A$12:الجدول1[[#This Row],[اسم العميل]]))</f>
        <v/>
      </c>
      <c r="B121" s="4"/>
      <c r="C121" s="4"/>
      <c r="D121" s="11"/>
      <c r="E121" s="4"/>
      <c r="F121" s="12"/>
      <c r="G121" s="15" t="str">
        <f t="shared" ca="1" si="15"/>
        <v/>
      </c>
      <c r="H121" s="4"/>
      <c r="I121" s="4"/>
      <c r="J121" s="4"/>
      <c r="K121" s="55" t="str">
        <f t="shared" si="16"/>
        <v/>
      </c>
      <c r="L121" s="90"/>
      <c r="M121" s="91" t="str">
        <f t="shared" ca="1" si="17"/>
        <v/>
      </c>
    </row>
    <row r="122" spans="1:13" ht="21" customHeight="1" thickTop="1" thickBot="1" x14ac:dyDescent="0.35">
      <c r="A122" s="88" t="str">
        <f>IF(الجدول1[[#This Row],[اسم العميل]]="", "", ROWS($A$12:الجدول1[[#This Row],[اسم العميل]]))</f>
        <v/>
      </c>
      <c r="B122" s="4"/>
      <c r="C122" s="4"/>
      <c r="D122" s="11"/>
      <c r="E122" s="4"/>
      <c r="F122" s="12"/>
      <c r="G122" s="15" t="str">
        <f t="shared" ca="1" si="15"/>
        <v/>
      </c>
      <c r="H122" s="4"/>
      <c r="I122" s="4"/>
      <c r="J122" s="4"/>
      <c r="K122" s="55" t="str">
        <f t="shared" si="16"/>
        <v/>
      </c>
      <c r="L122" s="90"/>
      <c r="M122" s="91" t="str">
        <f t="shared" ca="1" si="17"/>
        <v/>
      </c>
    </row>
    <row r="123" spans="1:13" ht="21" customHeight="1" thickTop="1" thickBot="1" x14ac:dyDescent="0.35">
      <c r="A123" s="88" t="str">
        <f>IF(الجدول1[[#This Row],[اسم العميل]]="", "", ROWS($A$12:الجدول1[[#This Row],[اسم العميل]]))</f>
        <v/>
      </c>
      <c r="B123" s="4"/>
      <c r="C123" s="4"/>
      <c r="D123" s="11"/>
      <c r="E123" s="4"/>
      <c r="F123" s="12"/>
      <c r="G123" s="15" t="str">
        <f t="shared" ca="1" si="15"/>
        <v/>
      </c>
      <c r="H123" s="4"/>
      <c r="I123" s="4"/>
      <c r="J123" s="4"/>
      <c r="K123" s="55" t="str">
        <f t="shared" si="16"/>
        <v/>
      </c>
      <c r="L123" s="90"/>
      <c r="M123" s="91" t="str">
        <f t="shared" ca="1" si="17"/>
        <v/>
      </c>
    </row>
    <row r="124" spans="1:13" ht="21" customHeight="1" thickTop="1" thickBot="1" x14ac:dyDescent="0.35">
      <c r="A124" s="88" t="str">
        <f>IF(الجدول1[[#This Row],[اسم العميل]]="", "", ROWS($A$12:الجدول1[[#This Row],[اسم العميل]]))</f>
        <v/>
      </c>
      <c r="B124" s="4"/>
      <c r="C124" s="4"/>
      <c r="D124" s="11"/>
      <c r="E124" s="4"/>
      <c r="F124" s="12"/>
      <c r="G124" s="15" t="str">
        <f t="shared" ca="1" si="15"/>
        <v/>
      </c>
      <c r="H124" s="4"/>
      <c r="I124" s="4"/>
      <c r="J124" s="4"/>
      <c r="K124" s="55" t="str">
        <f t="shared" si="16"/>
        <v/>
      </c>
      <c r="L124" s="90"/>
      <c r="M124" s="91" t="str">
        <f t="shared" ca="1" si="17"/>
        <v/>
      </c>
    </row>
    <row r="125" spans="1:13" ht="21" customHeight="1" thickTop="1" thickBot="1" x14ac:dyDescent="0.35">
      <c r="A125" s="88" t="str">
        <f>IF(الجدول1[[#This Row],[اسم العميل]]="", "", ROWS($A$12:الجدول1[[#This Row],[اسم العميل]]))</f>
        <v/>
      </c>
      <c r="B125" s="4"/>
      <c r="C125" s="4"/>
      <c r="D125" s="11"/>
      <c r="E125" s="4"/>
      <c r="F125" s="12"/>
      <c r="G125" s="15" t="str">
        <f t="shared" ca="1" si="15"/>
        <v/>
      </c>
      <c r="H125" s="4"/>
      <c r="I125" s="4"/>
      <c r="J125" s="4"/>
      <c r="K125" s="55" t="str">
        <f t="shared" si="16"/>
        <v/>
      </c>
      <c r="L125" s="90"/>
      <c r="M125" s="91" t="str">
        <f t="shared" ca="1" si="17"/>
        <v/>
      </c>
    </row>
    <row r="126" spans="1:13" ht="21" customHeight="1" thickTop="1" thickBot="1" x14ac:dyDescent="0.35">
      <c r="A126" s="88" t="str">
        <f>IF(الجدول1[[#This Row],[اسم العميل]]="", "", ROWS($A$12:الجدول1[[#This Row],[اسم العميل]]))</f>
        <v/>
      </c>
      <c r="B126" s="4"/>
      <c r="C126" s="4"/>
      <c r="D126" s="11"/>
      <c r="E126" s="4"/>
      <c r="F126" s="12"/>
      <c r="G126" s="15" t="str">
        <f t="shared" ca="1" si="15"/>
        <v/>
      </c>
      <c r="H126" s="4"/>
      <c r="I126" s="4"/>
      <c r="J126" s="4"/>
      <c r="K126" s="55" t="str">
        <f t="shared" si="16"/>
        <v/>
      </c>
      <c r="L126" s="90"/>
      <c r="M126" s="91" t="str">
        <f t="shared" ca="1" si="17"/>
        <v/>
      </c>
    </row>
    <row r="127" spans="1:13" ht="21" customHeight="1" thickTop="1" thickBot="1" x14ac:dyDescent="0.35">
      <c r="A127" s="88" t="str">
        <f>IF(الجدول1[[#This Row],[اسم العميل]]="", "", ROWS($A$12:الجدول1[[#This Row],[اسم العميل]]))</f>
        <v/>
      </c>
      <c r="B127" s="4"/>
      <c r="C127" s="4"/>
      <c r="D127" s="11"/>
      <c r="E127" s="4"/>
      <c r="F127" s="12"/>
      <c r="G127" s="15" t="str">
        <f t="shared" ca="1" si="15"/>
        <v/>
      </c>
      <c r="H127" s="4"/>
      <c r="I127" s="4"/>
      <c r="J127" s="4"/>
      <c r="K127" s="55" t="str">
        <f t="shared" si="16"/>
        <v/>
      </c>
      <c r="L127" s="90"/>
      <c r="M127" s="91" t="str">
        <f t="shared" ca="1" si="17"/>
        <v/>
      </c>
    </row>
    <row r="128" spans="1:13" ht="21" customHeight="1" thickTop="1" thickBot="1" x14ac:dyDescent="0.35">
      <c r="A128" s="88" t="str">
        <f>IF(الجدول1[[#This Row],[اسم العميل]]="", "", ROWS($A$12:الجدول1[[#This Row],[اسم العميل]]))</f>
        <v/>
      </c>
      <c r="B128" s="4"/>
      <c r="C128" s="4"/>
      <c r="D128" s="11"/>
      <c r="E128" s="4"/>
      <c r="F128" s="12"/>
      <c r="G128" s="15" t="str">
        <f t="shared" ca="1" si="15"/>
        <v/>
      </c>
      <c r="H128" s="4"/>
      <c r="I128" s="4"/>
      <c r="J128" s="4"/>
      <c r="K128" s="55" t="str">
        <f t="shared" si="16"/>
        <v/>
      </c>
      <c r="L128" s="90"/>
      <c r="M128" s="91" t="str">
        <f t="shared" ca="1" si="17"/>
        <v/>
      </c>
    </row>
    <row r="129" spans="1:13" ht="21" customHeight="1" thickTop="1" thickBot="1" x14ac:dyDescent="0.35">
      <c r="A129" s="88" t="str">
        <f>IF(الجدول1[[#This Row],[اسم العميل]]="", "", ROWS($A$12:الجدول1[[#This Row],[اسم العميل]]))</f>
        <v/>
      </c>
      <c r="B129" s="4"/>
      <c r="C129" s="4"/>
      <c r="D129" s="11"/>
      <c r="E129" s="4"/>
      <c r="F129" s="12"/>
      <c r="G129" s="15" t="str">
        <f t="shared" ca="1" si="15"/>
        <v/>
      </c>
      <c r="H129" s="4"/>
      <c r="I129" s="4"/>
      <c r="J129" s="4"/>
      <c r="K129" s="55" t="str">
        <f t="shared" si="16"/>
        <v/>
      </c>
      <c r="L129" s="90"/>
      <c r="M129" s="91" t="str">
        <f t="shared" ca="1" si="17"/>
        <v/>
      </c>
    </row>
    <row r="130" spans="1:13" ht="21" customHeight="1" thickTop="1" thickBot="1" x14ac:dyDescent="0.35">
      <c r="A130" s="88" t="str">
        <f>IF(الجدول1[[#This Row],[اسم العميل]]="", "", ROWS($A$12:الجدول1[[#This Row],[اسم العميل]]))</f>
        <v/>
      </c>
      <c r="B130" s="4"/>
      <c r="C130" s="4"/>
      <c r="D130" s="11"/>
      <c r="E130" s="4"/>
      <c r="F130" s="12"/>
      <c r="G130" s="15" t="str">
        <f t="shared" ca="1" si="15"/>
        <v/>
      </c>
      <c r="H130" s="4"/>
      <c r="I130" s="4"/>
      <c r="J130" s="4"/>
      <c r="K130" s="55" t="str">
        <f t="shared" si="16"/>
        <v/>
      </c>
      <c r="L130" s="90"/>
      <c r="M130" s="91" t="str">
        <f t="shared" ca="1" si="17"/>
        <v/>
      </c>
    </row>
    <row r="131" spans="1:13" ht="21" customHeight="1" thickTop="1" thickBot="1" x14ac:dyDescent="0.35">
      <c r="A131" s="88" t="str">
        <f>IF(الجدول1[[#This Row],[اسم العميل]]="", "", ROWS($A$12:الجدول1[[#This Row],[اسم العميل]]))</f>
        <v/>
      </c>
      <c r="B131" s="4"/>
      <c r="C131" s="4"/>
      <c r="D131" s="11"/>
      <c r="E131" s="4"/>
      <c r="F131" s="12"/>
      <c r="G131" s="15" t="str">
        <f t="shared" ca="1" si="15"/>
        <v/>
      </c>
      <c r="H131" s="4"/>
      <c r="I131" s="4"/>
      <c r="J131" s="4"/>
      <c r="K131" s="55" t="str">
        <f t="shared" si="16"/>
        <v/>
      </c>
      <c r="L131" s="90"/>
      <c r="M131" s="91" t="str">
        <f t="shared" ca="1" si="17"/>
        <v/>
      </c>
    </row>
    <row r="132" spans="1:13" ht="21" customHeight="1" thickTop="1" thickBot="1" x14ac:dyDescent="0.35">
      <c r="A132" s="88" t="str">
        <f>IF(الجدول1[[#This Row],[اسم العميل]]="", "", ROWS($A$12:الجدول1[[#This Row],[اسم العميل]]))</f>
        <v/>
      </c>
      <c r="B132" s="4"/>
      <c r="C132" s="4"/>
      <c r="D132" s="11"/>
      <c r="E132" s="4"/>
      <c r="F132" s="12"/>
      <c r="G132" s="15" t="str">
        <f t="shared" ca="1" si="15"/>
        <v/>
      </c>
      <c r="H132" s="4"/>
      <c r="I132" s="4"/>
      <c r="J132" s="4"/>
      <c r="K132" s="55" t="str">
        <f t="shared" si="16"/>
        <v/>
      </c>
      <c r="L132" s="90"/>
      <c r="M132" s="91" t="str">
        <f t="shared" ca="1" si="17"/>
        <v/>
      </c>
    </row>
    <row r="133" spans="1:13" ht="21" customHeight="1" thickTop="1" thickBot="1" x14ac:dyDescent="0.35">
      <c r="A133" s="88" t="str">
        <f>IF(الجدول1[[#This Row],[اسم العميل]]="", "", ROWS($A$12:الجدول1[[#This Row],[اسم العميل]]))</f>
        <v/>
      </c>
      <c r="B133" s="4"/>
      <c r="C133" s="4"/>
      <c r="D133" s="11"/>
      <c r="E133" s="4"/>
      <c r="F133" s="12"/>
      <c r="G133" s="15" t="str">
        <f t="shared" ca="1" si="15"/>
        <v/>
      </c>
      <c r="H133" s="4"/>
      <c r="I133" s="4"/>
      <c r="J133" s="4"/>
      <c r="K133" s="55" t="str">
        <f t="shared" si="16"/>
        <v/>
      </c>
      <c r="L133" s="90"/>
      <c r="M133" s="91" t="str">
        <f t="shared" ca="1" si="17"/>
        <v/>
      </c>
    </row>
    <row r="134" spans="1:13" ht="21" customHeight="1" thickTop="1" thickBot="1" x14ac:dyDescent="0.35">
      <c r="A134" s="88" t="str">
        <f>IF(الجدول1[[#This Row],[اسم العميل]]="", "", ROWS($A$12:الجدول1[[#This Row],[اسم العميل]]))</f>
        <v/>
      </c>
      <c r="B134" s="4"/>
      <c r="C134" s="4"/>
      <c r="D134" s="11"/>
      <c r="E134" s="4"/>
      <c r="F134" s="12"/>
      <c r="G134" s="15" t="str">
        <f t="shared" ca="1" si="15"/>
        <v/>
      </c>
      <c r="H134" s="4"/>
      <c r="I134" s="4"/>
      <c r="J134" s="4"/>
      <c r="K134" s="55" t="str">
        <f t="shared" si="16"/>
        <v/>
      </c>
      <c r="L134" s="90"/>
      <c r="M134" s="91" t="str">
        <f t="shared" ca="1" si="17"/>
        <v/>
      </c>
    </row>
    <row r="135" spans="1:13" ht="21" customHeight="1" thickTop="1" thickBot="1" x14ac:dyDescent="0.35">
      <c r="A135" s="88" t="str">
        <f>IF(الجدول1[[#This Row],[اسم العميل]]="", "", ROWS($A$12:الجدول1[[#This Row],[اسم العميل]]))</f>
        <v/>
      </c>
      <c r="B135" s="4"/>
      <c r="C135" s="4"/>
      <c r="D135" s="11"/>
      <c r="E135" s="4"/>
      <c r="F135" s="12"/>
      <c r="G135" s="15" t="str">
        <f t="shared" ca="1" si="15"/>
        <v/>
      </c>
      <c r="H135" s="4"/>
      <c r="I135" s="4"/>
      <c r="J135" s="4"/>
      <c r="K135" s="55" t="str">
        <f t="shared" si="16"/>
        <v/>
      </c>
      <c r="L135" s="90"/>
      <c r="M135" s="91" t="str">
        <f t="shared" ca="1" si="17"/>
        <v/>
      </c>
    </row>
    <row r="136" spans="1:13" ht="21" customHeight="1" thickTop="1" thickBot="1" x14ac:dyDescent="0.35">
      <c r="A136" s="88" t="str">
        <f>IF(الجدول1[[#This Row],[اسم العميل]]="", "", ROWS($A$12:الجدول1[[#This Row],[اسم العميل]]))</f>
        <v/>
      </c>
      <c r="B136" s="4"/>
      <c r="C136" s="4"/>
      <c r="D136" s="11"/>
      <c r="E136" s="4"/>
      <c r="F136" s="12"/>
      <c r="G136" s="15" t="str">
        <f t="shared" ca="1" si="15"/>
        <v/>
      </c>
      <c r="H136" s="4"/>
      <c r="I136" s="4"/>
      <c r="J136" s="4"/>
      <c r="K136" s="55" t="str">
        <f t="shared" si="16"/>
        <v/>
      </c>
      <c r="L136" s="90"/>
      <c r="M136" s="91" t="str">
        <f t="shared" ca="1" si="17"/>
        <v/>
      </c>
    </row>
    <row r="137" spans="1:13" ht="21" customHeight="1" thickTop="1" thickBot="1" x14ac:dyDescent="0.35">
      <c r="A137" s="88" t="str">
        <f>IF(الجدول1[[#This Row],[اسم العميل]]="", "", ROWS($A$12:الجدول1[[#This Row],[اسم العميل]]))</f>
        <v/>
      </c>
      <c r="B137" s="4"/>
      <c r="C137" s="4"/>
      <c r="D137" s="11"/>
      <c r="E137" s="4"/>
      <c r="F137" s="12"/>
      <c r="G137" s="15" t="str">
        <f t="shared" ca="1" si="15"/>
        <v/>
      </c>
      <c r="H137" s="4"/>
      <c r="I137" s="4"/>
      <c r="J137" s="4"/>
      <c r="K137" s="55" t="str">
        <f t="shared" si="16"/>
        <v/>
      </c>
      <c r="L137" s="90"/>
      <c r="M137" s="91" t="str">
        <f t="shared" ca="1" si="17"/>
        <v/>
      </c>
    </row>
    <row r="138" spans="1:13" ht="21" customHeight="1" thickTop="1" thickBot="1" x14ac:dyDescent="0.35">
      <c r="A138" s="88" t="str">
        <f>IF(الجدول1[[#This Row],[اسم العميل]]="", "", ROWS($A$12:الجدول1[[#This Row],[اسم العميل]]))</f>
        <v/>
      </c>
      <c r="B138" s="4"/>
      <c r="C138" s="4"/>
      <c r="D138" s="11"/>
      <c r="E138" s="4"/>
      <c r="F138" s="12"/>
      <c r="G138" s="15" t="str">
        <f t="shared" ca="1" si="15"/>
        <v/>
      </c>
      <c r="H138" s="4"/>
      <c r="I138" s="4"/>
      <c r="J138" s="4"/>
      <c r="K138" s="55" t="str">
        <f t="shared" si="16"/>
        <v/>
      </c>
      <c r="L138" s="90"/>
      <c r="M138" s="91" t="str">
        <f t="shared" ca="1" si="17"/>
        <v/>
      </c>
    </row>
    <row r="139" spans="1:13" ht="21" customHeight="1" thickTop="1" thickBot="1" x14ac:dyDescent="0.35">
      <c r="A139" s="88" t="str">
        <f>IF(الجدول1[[#This Row],[اسم العميل]]="", "", ROWS($A$12:الجدول1[[#This Row],[اسم العميل]]))</f>
        <v/>
      </c>
      <c r="B139" s="4"/>
      <c r="C139" s="4"/>
      <c r="D139" s="11"/>
      <c r="E139" s="4"/>
      <c r="F139" s="12"/>
      <c r="G139" s="15" t="str">
        <f t="shared" ca="1" si="15"/>
        <v/>
      </c>
      <c r="H139" s="4"/>
      <c r="I139" s="4"/>
      <c r="J139" s="4"/>
      <c r="K139" s="55" t="str">
        <f t="shared" si="16"/>
        <v/>
      </c>
      <c r="L139" s="90"/>
      <c r="M139" s="91" t="str">
        <f t="shared" ca="1" si="17"/>
        <v/>
      </c>
    </row>
    <row r="140" spans="1:13" ht="21" customHeight="1" thickTop="1" thickBot="1" x14ac:dyDescent="0.35">
      <c r="A140" s="88" t="str">
        <f>IF(الجدول1[[#This Row],[اسم العميل]]="", "", ROWS($A$12:الجدول1[[#This Row],[اسم العميل]]))</f>
        <v/>
      </c>
      <c r="B140" s="4"/>
      <c r="C140" s="4"/>
      <c r="D140" s="11"/>
      <c r="E140" s="4"/>
      <c r="F140" s="12"/>
      <c r="G140" s="15" t="str">
        <f t="shared" ca="1" si="15"/>
        <v/>
      </c>
      <c r="H140" s="4"/>
      <c r="I140" s="4"/>
      <c r="J140" s="4"/>
      <c r="K140" s="55" t="str">
        <f t="shared" si="16"/>
        <v/>
      </c>
      <c r="L140" s="90"/>
      <c r="M140" s="91" t="str">
        <f t="shared" ca="1" si="17"/>
        <v/>
      </c>
    </row>
    <row r="141" spans="1:13" ht="21" customHeight="1" thickTop="1" thickBot="1" x14ac:dyDescent="0.35">
      <c r="A141" s="88" t="str">
        <f>IF(الجدول1[[#This Row],[اسم العميل]]="", "", ROWS($A$12:الجدول1[[#This Row],[اسم العميل]]))</f>
        <v/>
      </c>
      <c r="B141" s="4"/>
      <c r="C141" s="4"/>
      <c r="D141" s="11"/>
      <c r="E141" s="4"/>
      <c r="F141" s="12"/>
      <c r="G141" s="15" t="str">
        <f t="shared" ca="1" si="15"/>
        <v/>
      </c>
      <c r="H141" s="4"/>
      <c r="I141" s="4"/>
      <c r="J141" s="4"/>
      <c r="K141" s="55" t="str">
        <f t="shared" si="16"/>
        <v/>
      </c>
      <c r="L141" s="90"/>
      <c r="M141" s="91" t="str">
        <f t="shared" ca="1" si="17"/>
        <v/>
      </c>
    </row>
    <row r="142" spans="1:13" ht="21" customHeight="1" thickTop="1" thickBot="1" x14ac:dyDescent="0.35">
      <c r="A142" s="88" t="str">
        <f>IF(الجدول1[[#This Row],[اسم العميل]]="", "", ROWS($A$12:الجدول1[[#This Row],[اسم العميل]]))</f>
        <v/>
      </c>
      <c r="B142" s="4"/>
      <c r="C142" s="4"/>
      <c r="D142" s="11"/>
      <c r="E142" s="4"/>
      <c r="F142" s="12"/>
      <c r="G142" s="15" t="str">
        <f t="shared" ca="1" si="15"/>
        <v/>
      </c>
      <c r="H142" s="4"/>
      <c r="I142" s="4"/>
      <c r="J142" s="4"/>
      <c r="K142" s="55" t="str">
        <f t="shared" si="16"/>
        <v/>
      </c>
      <c r="L142" s="90"/>
      <c r="M142" s="91" t="str">
        <f t="shared" ca="1" si="17"/>
        <v/>
      </c>
    </row>
    <row r="143" spans="1:13" ht="21" customHeight="1" thickTop="1" thickBot="1" x14ac:dyDescent="0.35">
      <c r="A143" s="88" t="str">
        <f>IF(الجدول1[[#This Row],[اسم العميل]]="", "", ROWS($A$12:الجدول1[[#This Row],[اسم العميل]]))</f>
        <v/>
      </c>
      <c r="B143" s="4"/>
      <c r="C143" s="4"/>
      <c r="D143" s="11"/>
      <c r="E143" s="4"/>
      <c r="F143" s="12"/>
      <c r="G143" s="15" t="str">
        <f t="shared" ca="1" si="15"/>
        <v/>
      </c>
      <c r="H143" s="4"/>
      <c r="I143" s="4"/>
      <c r="J143" s="4"/>
      <c r="K143" s="55" t="str">
        <f t="shared" si="16"/>
        <v/>
      </c>
      <c r="L143" s="90"/>
      <c r="M143" s="91" t="str">
        <f t="shared" ca="1" si="17"/>
        <v/>
      </c>
    </row>
    <row r="144" spans="1:13" ht="21" customHeight="1" thickTop="1" thickBot="1" x14ac:dyDescent="0.35">
      <c r="A144" s="88" t="str">
        <f>IF(الجدول1[[#This Row],[اسم العميل]]="", "", ROWS($A$12:الجدول1[[#This Row],[اسم العميل]]))</f>
        <v/>
      </c>
      <c r="B144" s="4"/>
      <c r="C144" s="4"/>
      <c r="D144" s="11"/>
      <c r="E144" s="4"/>
      <c r="F144" s="12"/>
      <c r="G144" s="15" t="str">
        <f t="shared" ref="G144:G175" ca="1" si="18">IF(F144="","",MIN(90,TODAY()-F144))</f>
        <v/>
      </c>
      <c r="H144" s="4"/>
      <c r="I144" s="4"/>
      <c r="J144" s="4"/>
      <c r="K144" s="55" t="str">
        <f t="shared" ref="K144:K175" si="19">IF(J144="", "", J144-I144)</f>
        <v/>
      </c>
      <c r="L144" s="90"/>
      <c r="M144" s="91" t="str">
        <f t="shared" ref="M144:M175" ca="1" si="20">IF(L144="تم الإرسال", "✅ تم الإرسال بنجاح", IF(OR(G144="", G144&lt;80), "", HYPERLINK("https://wa.me/" &amp; D144 &amp; "?text=عزيزنا " &amp; B144 &amp; "، نود تنبيهكم أن مدة تأشيرة العمرة أوشكت على الانتهاء، المتبقي لكم " &amp; (90-G144) &amp; " يوم فقط. نسأل الله تقبل عمرتكم. دمتم بخير - " &amp; E144, "إرسال رسالة")))</f>
        <v/>
      </c>
    </row>
    <row r="145" spans="1:13" ht="21" customHeight="1" thickTop="1" thickBot="1" x14ac:dyDescent="0.35">
      <c r="A145" s="88" t="str">
        <f>IF(الجدول1[[#This Row],[اسم العميل]]="", "", ROWS($A$12:الجدول1[[#This Row],[اسم العميل]]))</f>
        <v/>
      </c>
      <c r="B145" s="4"/>
      <c r="C145" s="4"/>
      <c r="D145" s="11"/>
      <c r="E145" s="4"/>
      <c r="F145" s="12"/>
      <c r="G145" s="15" t="str">
        <f t="shared" ca="1" si="18"/>
        <v/>
      </c>
      <c r="H145" s="4"/>
      <c r="I145" s="4"/>
      <c r="J145" s="4"/>
      <c r="K145" s="55" t="str">
        <f t="shared" si="19"/>
        <v/>
      </c>
      <c r="L145" s="90"/>
      <c r="M145" s="91" t="str">
        <f t="shared" ca="1" si="20"/>
        <v/>
      </c>
    </row>
    <row r="146" spans="1:13" ht="21" customHeight="1" thickTop="1" thickBot="1" x14ac:dyDescent="0.35">
      <c r="A146" s="88" t="str">
        <f>IF(الجدول1[[#This Row],[اسم العميل]]="", "", ROWS($A$12:الجدول1[[#This Row],[اسم العميل]]))</f>
        <v/>
      </c>
      <c r="B146" s="4"/>
      <c r="C146" s="4"/>
      <c r="D146" s="11"/>
      <c r="E146" s="4"/>
      <c r="F146" s="12"/>
      <c r="G146" s="15" t="str">
        <f t="shared" ca="1" si="18"/>
        <v/>
      </c>
      <c r="H146" s="4"/>
      <c r="I146" s="4"/>
      <c r="J146" s="4"/>
      <c r="K146" s="55" t="str">
        <f t="shared" si="19"/>
        <v/>
      </c>
      <c r="L146" s="90"/>
      <c r="M146" s="91" t="str">
        <f t="shared" ca="1" si="20"/>
        <v/>
      </c>
    </row>
    <row r="147" spans="1:13" ht="21" customHeight="1" thickTop="1" thickBot="1" x14ac:dyDescent="0.35">
      <c r="A147" s="88" t="str">
        <f>IF(الجدول1[[#This Row],[اسم العميل]]="", "", ROWS($A$12:الجدول1[[#This Row],[اسم العميل]]))</f>
        <v/>
      </c>
      <c r="B147" s="4"/>
      <c r="C147" s="4"/>
      <c r="D147" s="11"/>
      <c r="E147" s="4"/>
      <c r="F147" s="12"/>
      <c r="G147" s="15" t="str">
        <f t="shared" ca="1" si="18"/>
        <v/>
      </c>
      <c r="H147" s="4"/>
      <c r="I147" s="4"/>
      <c r="J147" s="4"/>
      <c r="K147" s="55" t="str">
        <f t="shared" si="19"/>
        <v/>
      </c>
      <c r="L147" s="90"/>
      <c r="M147" s="91" t="str">
        <f t="shared" ca="1" si="20"/>
        <v/>
      </c>
    </row>
    <row r="148" spans="1:13" ht="21" customHeight="1" thickTop="1" thickBot="1" x14ac:dyDescent="0.35">
      <c r="A148" s="88" t="str">
        <f>IF(الجدول1[[#This Row],[اسم العميل]]="", "", ROWS($A$12:الجدول1[[#This Row],[اسم العميل]]))</f>
        <v/>
      </c>
      <c r="B148" s="4"/>
      <c r="C148" s="4"/>
      <c r="D148" s="11"/>
      <c r="E148" s="4"/>
      <c r="F148" s="12"/>
      <c r="G148" s="15" t="str">
        <f t="shared" ca="1" si="18"/>
        <v/>
      </c>
      <c r="H148" s="4"/>
      <c r="I148" s="4"/>
      <c r="J148" s="4"/>
      <c r="K148" s="55" t="str">
        <f t="shared" si="19"/>
        <v/>
      </c>
      <c r="L148" s="90"/>
      <c r="M148" s="91" t="str">
        <f t="shared" ca="1" si="20"/>
        <v/>
      </c>
    </row>
    <row r="149" spans="1:13" ht="21" customHeight="1" thickTop="1" thickBot="1" x14ac:dyDescent="0.35">
      <c r="A149" s="88" t="str">
        <f>IF(الجدول1[[#This Row],[اسم العميل]]="", "", ROWS($A$12:الجدول1[[#This Row],[اسم العميل]]))</f>
        <v/>
      </c>
      <c r="B149" s="4"/>
      <c r="C149" s="4"/>
      <c r="D149" s="11"/>
      <c r="E149" s="4"/>
      <c r="F149" s="12"/>
      <c r="G149" s="15" t="str">
        <f t="shared" ca="1" si="18"/>
        <v/>
      </c>
      <c r="H149" s="4"/>
      <c r="I149" s="4"/>
      <c r="J149" s="4"/>
      <c r="K149" s="55" t="str">
        <f t="shared" si="19"/>
        <v/>
      </c>
      <c r="L149" s="90"/>
      <c r="M149" s="91" t="str">
        <f t="shared" ca="1" si="20"/>
        <v/>
      </c>
    </row>
    <row r="150" spans="1:13" ht="21" customHeight="1" thickTop="1" thickBot="1" x14ac:dyDescent="0.35">
      <c r="A150" s="88" t="str">
        <f>IF(الجدول1[[#This Row],[اسم العميل]]="", "", ROWS($A$12:الجدول1[[#This Row],[اسم العميل]]))</f>
        <v/>
      </c>
      <c r="B150" s="4"/>
      <c r="C150" s="4"/>
      <c r="D150" s="11"/>
      <c r="E150" s="4"/>
      <c r="F150" s="12"/>
      <c r="G150" s="15" t="str">
        <f t="shared" ca="1" si="18"/>
        <v/>
      </c>
      <c r="H150" s="4"/>
      <c r="I150" s="4"/>
      <c r="J150" s="4"/>
      <c r="K150" s="55" t="str">
        <f t="shared" si="19"/>
        <v/>
      </c>
      <c r="L150" s="90"/>
      <c r="M150" s="91" t="str">
        <f t="shared" ca="1" si="20"/>
        <v/>
      </c>
    </row>
    <row r="151" spans="1:13" ht="21" customHeight="1" thickTop="1" thickBot="1" x14ac:dyDescent="0.35">
      <c r="A151" s="88" t="str">
        <f>IF(الجدول1[[#This Row],[اسم العميل]]="", "", ROWS($A$12:الجدول1[[#This Row],[اسم العميل]]))</f>
        <v/>
      </c>
      <c r="B151" s="4"/>
      <c r="C151" s="4"/>
      <c r="D151" s="11"/>
      <c r="E151" s="4"/>
      <c r="F151" s="12"/>
      <c r="G151" s="15" t="str">
        <f t="shared" ca="1" si="18"/>
        <v/>
      </c>
      <c r="H151" s="4"/>
      <c r="I151" s="4"/>
      <c r="J151" s="4"/>
      <c r="K151" s="55" t="str">
        <f t="shared" si="19"/>
        <v/>
      </c>
      <c r="L151" s="90"/>
      <c r="M151" s="91" t="str">
        <f t="shared" ca="1" si="20"/>
        <v/>
      </c>
    </row>
    <row r="152" spans="1:13" ht="21" customHeight="1" thickTop="1" thickBot="1" x14ac:dyDescent="0.35">
      <c r="A152" s="88" t="str">
        <f>IF(الجدول1[[#This Row],[اسم العميل]]="", "", ROWS($A$12:الجدول1[[#This Row],[اسم العميل]]))</f>
        <v/>
      </c>
      <c r="B152" s="4"/>
      <c r="C152" s="4"/>
      <c r="D152" s="11"/>
      <c r="E152" s="4"/>
      <c r="F152" s="12"/>
      <c r="G152" s="15" t="str">
        <f t="shared" ca="1" si="18"/>
        <v/>
      </c>
      <c r="H152" s="4"/>
      <c r="I152" s="4"/>
      <c r="J152" s="4"/>
      <c r="K152" s="55" t="str">
        <f t="shared" si="19"/>
        <v/>
      </c>
      <c r="L152" s="90"/>
      <c r="M152" s="91" t="str">
        <f t="shared" ca="1" si="20"/>
        <v/>
      </c>
    </row>
    <row r="153" spans="1:13" ht="21" customHeight="1" thickTop="1" thickBot="1" x14ac:dyDescent="0.35">
      <c r="A153" s="88" t="str">
        <f>IF(الجدول1[[#This Row],[اسم العميل]]="", "", ROWS($A$12:الجدول1[[#This Row],[اسم العميل]]))</f>
        <v/>
      </c>
      <c r="B153" s="4"/>
      <c r="C153" s="4"/>
      <c r="D153" s="11"/>
      <c r="E153" s="4"/>
      <c r="F153" s="12"/>
      <c r="G153" s="15" t="str">
        <f t="shared" ca="1" si="18"/>
        <v/>
      </c>
      <c r="H153" s="4"/>
      <c r="I153" s="4"/>
      <c r="J153" s="4"/>
      <c r="K153" s="55" t="str">
        <f t="shared" si="19"/>
        <v/>
      </c>
      <c r="L153" s="90"/>
      <c r="M153" s="91" t="str">
        <f t="shared" ca="1" si="20"/>
        <v/>
      </c>
    </row>
    <row r="154" spans="1:13" ht="21" customHeight="1" thickTop="1" thickBot="1" x14ac:dyDescent="0.35">
      <c r="A154" s="88" t="str">
        <f>IF(الجدول1[[#This Row],[اسم العميل]]="", "", ROWS($A$12:الجدول1[[#This Row],[اسم العميل]]))</f>
        <v/>
      </c>
      <c r="B154" s="4"/>
      <c r="C154" s="4"/>
      <c r="D154" s="11"/>
      <c r="E154" s="4"/>
      <c r="F154" s="12"/>
      <c r="G154" s="15" t="str">
        <f t="shared" ca="1" si="18"/>
        <v/>
      </c>
      <c r="H154" s="4"/>
      <c r="I154" s="4"/>
      <c r="J154" s="4"/>
      <c r="K154" s="55" t="str">
        <f t="shared" si="19"/>
        <v/>
      </c>
      <c r="L154" s="90"/>
      <c r="M154" s="91" t="str">
        <f t="shared" ca="1" si="20"/>
        <v/>
      </c>
    </row>
    <row r="155" spans="1:13" ht="21" customHeight="1" thickTop="1" thickBot="1" x14ac:dyDescent="0.35">
      <c r="A155" s="88" t="str">
        <f>IF(الجدول1[[#This Row],[اسم العميل]]="", "", ROWS($A$12:الجدول1[[#This Row],[اسم العميل]]))</f>
        <v/>
      </c>
      <c r="B155" s="4"/>
      <c r="C155" s="4"/>
      <c r="D155" s="11"/>
      <c r="E155" s="4"/>
      <c r="F155" s="12"/>
      <c r="G155" s="15" t="str">
        <f t="shared" ca="1" si="18"/>
        <v/>
      </c>
      <c r="H155" s="4"/>
      <c r="I155" s="4"/>
      <c r="J155" s="4"/>
      <c r="K155" s="55" t="str">
        <f t="shared" si="19"/>
        <v/>
      </c>
      <c r="L155" s="90"/>
      <c r="M155" s="91" t="str">
        <f t="shared" ca="1" si="20"/>
        <v/>
      </c>
    </row>
    <row r="156" spans="1:13" ht="21" customHeight="1" thickTop="1" thickBot="1" x14ac:dyDescent="0.35">
      <c r="A156" s="88" t="str">
        <f>IF(الجدول1[[#This Row],[اسم العميل]]="", "", ROWS($A$12:الجدول1[[#This Row],[اسم العميل]]))</f>
        <v/>
      </c>
      <c r="B156" s="4"/>
      <c r="C156" s="4"/>
      <c r="D156" s="11"/>
      <c r="E156" s="4"/>
      <c r="F156" s="12"/>
      <c r="G156" s="15" t="str">
        <f t="shared" ca="1" si="18"/>
        <v/>
      </c>
      <c r="H156" s="4"/>
      <c r="I156" s="4"/>
      <c r="J156" s="4"/>
      <c r="K156" s="55" t="str">
        <f t="shared" si="19"/>
        <v/>
      </c>
      <c r="L156" s="90"/>
      <c r="M156" s="91" t="str">
        <f t="shared" ca="1" si="20"/>
        <v/>
      </c>
    </row>
    <row r="157" spans="1:13" ht="21" customHeight="1" thickTop="1" thickBot="1" x14ac:dyDescent="0.35">
      <c r="A157" s="88" t="str">
        <f>IF(الجدول1[[#This Row],[اسم العميل]]="", "", ROWS($A$12:الجدول1[[#This Row],[اسم العميل]]))</f>
        <v/>
      </c>
      <c r="B157" s="4"/>
      <c r="C157" s="4"/>
      <c r="D157" s="11"/>
      <c r="E157" s="4"/>
      <c r="F157" s="12"/>
      <c r="G157" s="15" t="str">
        <f t="shared" ca="1" si="18"/>
        <v/>
      </c>
      <c r="H157" s="4"/>
      <c r="I157" s="4"/>
      <c r="J157" s="4"/>
      <c r="K157" s="55" t="str">
        <f t="shared" si="19"/>
        <v/>
      </c>
      <c r="L157" s="90"/>
      <c r="M157" s="91" t="str">
        <f t="shared" ca="1" si="20"/>
        <v/>
      </c>
    </row>
    <row r="158" spans="1:13" ht="21" customHeight="1" thickTop="1" thickBot="1" x14ac:dyDescent="0.35">
      <c r="A158" s="88" t="str">
        <f>IF(الجدول1[[#This Row],[اسم العميل]]="", "", ROWS($A$12:الجدول1[[#This Row],[اسم العميل]]))</f>
        <v/>
      </c>
      <c r="B158" s="4"/>
      <c r="C158" s="4"/>
      <c r="D158" s="11"/>
      <c r="E158" s="4"/>
      <c r="F158" s="12"/>
      <c r="G158" s="15" t="str">
        <f t="shared" ca="1" si="18"/>
        <v/>
      </c>
      <c r="H158" s="4"/>
      <c r="I158" s="4"/>
      <c r="J158" s="4"/>
      <c r="K158" s="55" t="str">
        <f t="shared" si="19"/>
        <v/>
      </c>
      <c r="L158" s="90"/>
      <c r="M158" s="91" t="str">
        <f t="shared" ca="1" si="20"/>
        <v/>
      </c>
    </row>
    <row r="159" spans="1:13" ht="21" customHeight="1" thickTop="1" thickBot="1" x14ac:dyDescent="0.35">
      <c r="A159" s="88" t="str">
        <f>IF(الجدول1[[#This Row],[اسم العميل]]="", "", ROWS($A$12:الجدول1[[#This Row],[اسم العميل]]))</f>
        <v/>
      </c>
      <c r="B159" s="4"/>
      <c r="C159" s="4"/>
      <c r="D159" s="11"/>
      <c r="E159" s="4"/>
      <c r="F159" s="12"/>
      <c r="G159" s="15" t="str">
        <f t="shared" ca="1" si="18"/>
        <v/>
      </c>
      <c r="H159" s="4"/>
      <c r="I159" s="4"/>
      <c r="J159" s="4"/>
      <c r="K159" s="55" t="str">
        <f t="shared" si="19"/>
        <v/>
      </c>
      <c r="L159" s="90"/>
      <c r="M159" s="91" t="str">
        <f t="shared" ca="1" si="20"/>
        <v/>
      </c>
    </row>
    <row r="160" spans="1:13" ht="21" customHeight="1" thickTop="1" thickBot="1" x14ac:dyDescent="0.35">
      <c r="A160" s="88" t="str">
        <f>IF(الجدول1[[#This Row],[اسم العميل]]="", "", ROWS($A$12:الجدول1[[#This Row],[اسم العميل]]))</f>
        <v/>
      </c>
      <c r="B160" s="4"/>
      <c r="C160" s="4"/>
      <c r="D160" s="11"/>
      <c r="E160" s="4"/>
      <c r="F160" s="12"/>
      <c r="G160" s="15" t="str">
        <f t="shared" ca="1" si="18"/>
        <v/>
      </c>
      <c r="H160" s="4"/>
      <c r="I160" s="4"/>
      <c r="J160" s="4"/>
      <c r="K160" s="55" t="str">
        <f t="shared" si="19"/>
        <v/>
      </c>
      <c r="L160" s="90"/>
      <c r="M160" s="91" t="str">
        <f t="shared" ca="1" si="20"/>
        <v/>
      </c>
    </row>
    <row r="161" spans="1:13" ht="21" customHeight="1" thickTop="1" thickBot="1" x14ac:dyDescent="0.35">
      <c r="A161" s="88" t="str">
        <f>IF(الجدول1[[#This Row],[اسم العميل]]="", "", ROWS($A$12:الجدول1[[#This Row],[اسم العميل]]))</f>
        <v/>
      </c>
      <c r="B161" s="4"/>
      <c r="C161" s="4"/>
      <c r="D161" s="11"/>
      <c r="E161" s="4"/>
      <c r="F161" s="12"/>
      <c r="G161" s="15" t="str">
        <f t="shared" ca="1" si="18"/>
        <v/>
      </c>
      <c r="H161" s="4"/>
      <c r="I161" s="4"/>
      <c r="J161" s="4"/>
      <c r="K161" s="55" t="str">
        <f t="shared" si="19"/>
        <v/>
      </c>
      <c r="L161" s="90"/>
      <c r="M161" s="91" t="str">
        <f t="shared" ca="1" si="20"/>
        <v/>
      </c>
    </row>
    <row r="162" spans="1:13" ht="21" customHeight="1" thickTop="1" thickBot="1" x14ac:dyDescent="0.35">
      <c r="A162" s="88" t="str">
        <f>IF(الجدول1[[#This Row],[اسم العميل]]="", "", ROWS($A$12:الجدول1[[#This Row],[اسم العميل]]))</f>
        <v/>
      </c>
      <c r="B162" s="4"/>
      <c r="C162" s="4"/>
      <c r="D162" s="11"/>
      <c r="E162" s="4"/>
      <c r="F162" s="12"/>
      <c r="G162" s="15" t="str">
        <f t="shared" ca="1" si="18"/>
        <v/>
      </c>
      <c r="H162" s="4"/>
      <c r="I162" s="4"/>
      <c r="J162" s="4"/>
      <c r="K162" s="55" t="str">
        <f t="shared" si="19"/>
        <v/>
      </c>
      <c r="L162" s="90"/>
      <c r="M162" s="91" t="str">
        <f t="shared" ca="1" si="20"/>
        <v/>
      </c>
    </row>
    <row r="163" spans="1:13" ht="21" customHeight="1" thickTop="1" thickBot="1" x14ac:dyDescent="0.35">
      <c r="A163" s="88" t="str">
        <f>IF(الجدول1[[#This Row],[اسم العميل]]="", "", ROWS($A$12:الجدول1[[#This Row],[اسم العميل]]))</f>
        <v/>
      </c>
      <c r="B163" s="4"/>
      <c r="C163" s="4"/>
      <c r="D163" s="11"/>
      <c r="E163" s="4"/>
      <c r="F163" s="12"/>
      <c r="G163" s="15" t="str">
        <f t="shared" ca="1" si="18"/>
        <v/>
      </c>
      <c r="H163" s="4"/>
      <c r="I163" s="4"/>
      <c r="J163" s="4"/>
      <c r="K163" s="55" t="str">
        <f t="shared" si="19"/>
        <v/>
      </c>
      <c r="L163" s="90"/>
      <c r="M163" s="91" t="str">
        <f t="shared" ca="1" si="20"/>
        <v/>
      </c>
    </row>
    <row r="164" spans="1:13" ht="21" customHeight="1" thickTop="1" thickBot="1" x14ac:dyDescent="0.35">
      <c r="A164" s="88" t="str">
        <f>IF(الجدول1[[#This Row],[اسم العميل]]="", "", ROWS($A$12:الجدول1[[#This Row],[اسم العميل]]))</f>
        <v/>
      </c>
      <c r="B164" s="4"/>
      <c r="C164" s="4"/>
      <c r="D164" s="11"/>
      <c r="E164" s="4"/>
      <c r="F164" s="12"/>
      <c r="G164" s="15" t="str">
        <f t="shared" ca="1" si="18"/>
        <v/>
      </c>
      <c r="H164" s="4"/>
      <c r="I164" s="4"/>
      <c r="J164" s="4"/>
      <c r="K164" s="55" t="str">
        <f t="shared" si="19"/>
        <v/>
      </c>
      <c r="L164" s="90"/>
      <c r="M164" s="91" t="str">
        <f t="shared" ca="1" si="20"/>
        <v/>
      </c>
    </row>
    <row r="165" spans="1:13" ht="21" customHeight="1" thickTop="1" thickBot="1" x14ac:dyDescent="0.35">
      <c r="A165" s="88" t="str">
        <f>IF(الجدول1[[#This Row],[اسم العميل]]="", "", ROWS($A$12:الجدول1[[#This Row],[اسم العميل]]))</f>
        <v/>
      </c>
      <c r="B165" s="4"/>
      <c r="C165" s="4"/>
      <c r="D165" s="11"/>
      <c r="E165" s="4"/>
      <c r="F165" s="12"/>
      <c r="G165" s="15" t="str">
        <f t="shared" ca="1" si="18"/>
        <v/>
      </c>
      <c r="H165" s="4"/>
      <c r="I165" s="4"/>
      <c r="J165" s="4"/>
      <c r="K165" s="55" t="str">
        <f t="shared" si="19"/>
        <v/>
      </c>
      <c r="L165" s="90"/>
      <c r="M165" s="91" t="str">
        <f t="shared" ca="1" si="20"/>
        <v/>
      </c>
    </row>
    <row r="166" spans="1:13" ht="21" customHeight="1" thickTop="1" thickBot="1" x14ac:dyDescent="0.35">
      <c r="A166" s="88" t="str">
        <f>IF(الجدول1[[#This Row],[اسم العميل]]="", "", ROWS($A$12:الجدول1[[#This Row],[اسم العميل]]))</f>
        <v/>
      </c>
      <c r="B166" s="4"/>
      <c r="C166" s="4"/>
      <c r="D166" s="11"/>
      <c r="E166" s="4"/>
      <c r="F166" s="12"/>
      <c r="G166" s="15" t="str">
        <f t="shared" ca="1" si="18"/>
        <v/>
      </c>
      <c r="H166" s="4"/>
      <c r="I166" s="4"/>
      <c r="J166" s="4"/>
      <c r="K166" s="55" t="str">
        <f t="shared" si="19"/>
        <v/>
      </c>
      <c r="L166" s="90"/>
      <c r="M166" s="91" t="str">
        <f t="shared" ca="1" si="20"/>
        <v/>
      </c>
    </row>
    <row r="167" spans="1:13" ht="21" customHeight="1" thickTop="1" thickBot="1" x14ac:dyDescent="0.35">
      <c r="A167" s="88" t="str">
        <f>IF(الجدول1[[#This Row],[اسم العميل]]="", "", ROWS($A$12:الجدول1[[#This Row],[اسم العميل]]))</f>
        <v/>
      </c>
      <c r="B167" s="4"/>
      <c r="C167" s="4"/>
      <c r="D167" s="11"/>
      <c r="E167" s="4"/>
      <c r="F167" s="12"/>
      <c r="G167" s="15" t="str">
        <f t="shared" ca="1" si="18"/>
        <v/>
      </c>
      <c r="H167" s="4"/>
      <c r="I167" s="4"/>
      <c r="J167" s="4"/>
      <c r="K167" s="55" t="str">
        <f t="shared" si="19"/>
        <v/>
      </c>
      <c r="L167" s="90"/>
      <c r="M167" s="91" t="str">
        <f t="shared" ca="1" si="20"/>
        <v/>
      </c>
    </row>
    <row r="168" spans="1:13" ht="21" customHeight="1" thickTop="1" thickBot="1" x14ac:dyDescent="0.35">
      <c r="A168" s="88" t="str">
        <f>IF(الجدول1[[#This Row],[اسم العميل]]="", "", ROWS($A$12:الجدول1[[#This Row],[اسم العميل]]))</f>
        <v/>
      </c>
      <c r="B168" s="4"/>
      <c r="C168" s="4"/>
      <c r="D168" s="11"/>
      <c r="E168" s="4"/>
      <c r="F168" s="12"/>
      <c r="G168" s="15" t="str">
        <f t="shared" ca="1" si="18"/>
        <v/>
      </c>
      <c r="H168" s="4"/>
      <c r="I168" s="4"/>
      <c r="J168" s="4"/>
      <c r="K168" s="55" t="str">
        <f t="shared" si="19"/>
        <v/>
      </c>
      <c r="L168" s="90"/>
      <c r="M168" s="91" t="str">
        <f t="shared" ca="1" si="20"/>
        <v/>
      </c>
    </row>
    <row r="169" spans="1:13" ht="21" customHeight="1" thickTop="1" thickBot="1" x14ac:dyDescent="0.35">
      <c r="A169" s="88" t="str">
        <f>IF(الجدول1[[#This Row],[اسم العميل]]="", "", ROWS($A$12:الجدول1[[#This Row],[اسم العميل]]))</f>
        <v/>
      </c>
      <c r="B169" s="4"/>
      <c r="C169" s="4"/>
      <c r="D169" s="11"/>
      <c r="E169" s="4"/>
      <c r="F169" s="12"/>
      <c r="G169" s="15" t="str">
        <f t="shared" ca="1" si="18"/>
        <v/>
      </c>
      <c r="H169" s="4"/>
      <c r="I169" s="4"/>
      <c r="J169" s="4"/>
      <c r="K169" s="55" t="str">
        <f t="shared" si="19"/>
        <v/>
      </c>
      <c r="L169" s="90"/>
      <c r="M169" s="91" t="str">
        <f t="shared" ca="1" si="20"/>
        <v/>
      </c>
    </row>
    <row r="170" spans="1:13" ht="21" customHeight="1" thickTop="1" thickBot="1" x14ac:dyDescent="0.35">
      <c r="A170" s="88" t="str">
        <f>IF(الجدول1[[#This Row],[اسم العميل]]="", "", ROWS($A$12:الجدول1[[#This Row],[اسم العميل]]))</f>
        <v/>
      </c>
      <c r="B170" s="4"/>
      <c r="C170" s="4"/>
      <c r="D170" s="11"/>
      <c r="E170" s="4"/>
      <c r="F170" s="12"/>
      <c r="G170" s="15" t="str">
        <f t="shared" ca="1" si="18"/>
        <v/>
      </c>
      <c r="H170" s="4"/>
      <c r="I170" s="4"/>
      <c r="J170" s="4"/>
      <c r="K170" s="55" t="str">
        <f t="shared" si="19"/>
        <v/>
      </c>
      <c r="L170" s="90"/>
      <c r="M170" s="91" t="str">
        <f t="shared" ca="1" si="20"/>
        <v/>
      </c>
    </row>
    <row r="171" spans="1:13" ht="21" customHeight="1" thickTop="1" thickBot="1" x14ac:dyDescent="0.35">
      <c r="A171" s="88" t="str">
        <f>IF(الجدول1[[#This Row],[اسم العميل]]="", "", ROWS($A$12:الجدول1[[#This Row],[اسم العميل]]))</f>
        <v/>
      </c>
      <c r="B171" s="4"/>
      <c r="C171" s="4"/>
      <c r="D171" s="11"/>
      <c r="E171" s="4"/>
      <c r="F171" s="12"/>
      <c r="G171" s="15" t="str">
        <f t="shared" ca="1" si="18"/>
        <v/>
      </c>
      <c r="H171" s="4"/>
      <c r="I171" s="4"/>
      <c r="J171" s="4"/>
      <c r="K171" s="55" t="str">
        <f t="shared" si="19"/>
        <v/>
      </c>
      <c r="L171" s="90"/>
      <c r="M171" s="91" t="str">
        <f t="shared" ca="1" si="20"/>
        <v/>
      </c>
    </row>
    <row r="172" spans="1:13" ht="21" customHeight="1" thickTop="1" thickBot="1" x14ac:dyDescent="0.35">
      <c r="A172" s="88" t="str">
        <f>IF(الجدول1[[#This Row],[اسم العميل]]="", "", ROWS($A$12:الجدول1[[#This Row],[اسم العميل]]))</f>
        <v/>
      </c>
      <c r="B172" s="4"/>
      <c r="C172" s="4"/>
      <c r="D172" s="11"/>
      <c r="E172" s="4"/>
      <c r="F172" s="12"/>
      <c r="G172" s="15" t="str">
        <f t="shared" ca="1" si="18"/>
        <v/>
      </c>
      <c r="H172" s="4"/>
      <c r="I172" s="4"/>
      <c r="J172" s="4"/>
      <c r="K172" s="55" t="str">
        <f t="shared" si="19"/>
        <v/>
      </c>
      <c r="L172" s="90"/>
      <c r="M172" s="91" t="str">
        <f t="shared" ca="1" si="20"/>
        <v/>
      </c>
    </row>
    <row r="173" spans="1:13" ht="21" customHeight="1" thickTop="1" thickBot="1" x14ac:dyDescent="0.35">
      <c r="A173" s="88" t="str">
        <f>IF(الجدول1[[#This Row],[اسم العميل]]="", "", ROWS($A$12:الجدول1[[#This Row],[اسم العميل]]))</f>
        <v/>
      </c>
      <c r="B173" s="4"/>
      <c r="C173" s="4"/>
      <c r="D173" s="11"/>
      <c r="E173" s="4"/>
      <c r="F173" s="12"/>
      <c r="G173" s="15" t="str">
        <f t="shared" ca="1" si="18"/>
        <v/>
      </c>
      <c r="H173" s="4"/>
      <c r="I173" s="4"/>
      <c r="J173" s="4"/>
      <c r="K173" s="55" t="str">
        <f t="shared" si="19"/>
        <v/>
      </c>
      <c r="L173" s="90"/>
      <c r="M173" s="91" t="str">
        <f t="shared" ca="1" si="20"/>
        <v/>
      </c>
    </row>
    <row r="174" spans="1:13" ht="21" customHeight="1" thickTop="1" thickBot="1" x14ac:dyDescent="0.35">
      <c r="A174" s="88" t="str">
        <f>IF(الجدول1[[#This Row],[اسم العميل]]="", "", ROWS($A$12:الجدول1[[#This Row],[اسم العميل]]))</f>
        <v/>
      </c>
      <c r="B174" s="4"/>
      <c r="C174" s="4"/>
      <c r="D174" s="11"/>
      <c r="E174" s="4"/>
      <c r="F174" s="12"/>
      <c r="G174" s="15" t="str">
        <f t="shared" ca="1" si="18"/>
        <v/>
      </c>
      <c r="H174" s="4"/>
      <c r="I174" s="4"/>
      <c r="J174" s="4"/>
      <c r="K174" s="55" t="str">
        <f t="shared" si="19"/>
        <v/>
      </c>
      <c r="L174" s="90"/>
      <c r="M174" s="91" t="str">
        <f t="shared" ca="1" si="20"/>
        <v/>
      </c>
    </row>
    <row r="175" spans="1:13" ht="21" customHeight="1" thickTop="1" thickBot="1" x14ac:dyDescent="0.35">
      <c r="A175" s="88" t="str">
        <f>IF(الجدول1[[#This Row],[اسم العميل]]="", "", ROWS($A$12:الجدول1[[#This Row],[اسم العميل]]))</f>
        <v/>
      </c>
      <c r="B175" s="4"/>
      <c r="C175" s="4"/>
      <c r="D175" s="11"/>
      <c r="E175" s="4"/>
      <c r="F175" s="12"/>
      <c r="G175" s="15" t="str">
        <f t="shared" ca="1" si="18"/>
        <v/>
      </c>
      <c r="H175" s="4"/>
      <c r="I175" s="4"/>
      <c r="J175" s="4"/>
      <c r="K175" s="55" t="str">
        <f t="shared" si="19"/>
        <v/>
      </c>
      <c r="L175" s="90"/>
      <c r="M175" s="91" t="str">
        <f t="shared" ca="1" si="20"/>
        <v/>
      </c>
    </row>
    <row r="176" spans="1:13" ht="21" customHeight="1" thickTop="1" thickBot="1" x14ac:dyDescent="0.35">
      <c r="A176" s="88" t="str">
        <f>IF(الجدول1[[#This Row],[اسم العميل]]="", "", ROWS($A$12:الجدول1[[#This Row],[اسم العميل]]))</f>
        <v/>
      </c>
      <c r="B176" s="4"/>
      <c r="C176" s="4"/>
      <c r="D176" s="11"/>
      <c r="E176" s="4"/>
      <c r="F176" s="12"/>
      <c r="G176" s="15" t="str">
        <f t="shared" ref="G176:G207" ca="1" si="21">IF(F176="","",MIN(90,TODAY()-F176))</f>
        <v/>
      </c>
      <c r="H176" s="4"/>
      <c r="I176" s="4"/>
      <c r="J176" s="4"/>
      <c r="K176" s="55" t="str">
        <f t="shared" ref="K176:K207" si="22">IF(J176="", "", J176-I176)</f>
        <v/>
      </c>
      <c r="L176" s="90"/>
      <c r="M176" s="91" t="str">
        <f t="shared" ref="M176:M207" ca="1" si="23">IF(L176="تم الإرسال", "✅ تم الإرسال بنجاح", IF(OR(G176="", G176&lt;80), "", HYPERLINK("https://wa.me/" &amp; D176 &amp; "?text=عزيزنا " &amp; B176 &amp; "، نود تنبيهكم أن مدة تأشيرة العمرة أوشكت على الانتهاء، المتبقي لكم " &amp; (90-G176) &amp; " يوم فقط. نسأل الله تقبل عمرتكم. دمتم بخير - " &amp; E176, "إرسال رسالة")))</f>
        <v/>
      </c>
    </row>
    <row r="177" spans="1:13" ht="21" customHeight="1" thickTop="1" thickBot="1" x14ac:dyDescent="0.35">
      <c r="A177" s="88" t="str">
        <f>IF(الجدول1[[#This Row],[اسم العميل]]="", "", ROWS($A$12:الجدول1[[#This Row],[اسم العميل]]))</f>
        <v/>
      </c>
      <c r="B177" s="4"/>
      <c r="C177" s="4"/>
      <c r="D177" s="11"/>
      <c r="E177" s="4"/>
      <c r="F177" s="12"/>
      <c r="G177" s="15" t="str">
        <f t="shared" ca="1" si="21"/>
        <v/>
      </c>
      <c r="H177" s="4"/>
      <c r="I177" s="4"/>
      <c r="J177" s="4"/>
      <c r="K177" s="55" t="str">
        <f t="shared" si="22"/>
        <v/>
      </c>
      <c r="L177" s="90"/>
      <c r="M177" s="91" t="str">
        <f t="shared" ca="1" si="23"/>
        <v/>
      </c>
    </row>
    <row r="178" spans="1:13" ht="21" customHeight="1" thickTop="1" thickBot="1" x14ac:dyDescent="0.35">
      <c r="A178" s="88" t="str">
        <f>IF(الجدول1[[#This Row],[اسم العميل]]="", "", ROWS($A$12:الجدول1[[#This Row],[اسم العميل]]))</f>
        <v/>
      </c>
      <c r="B178" s="4"/>
      <c r="C178" s="4"/>
      <c r="D178" s="11"/>
      <c r="E178" s="4"/>
      <c r="F178" s="12"/>
      <c r="G178" s="15" t="str">
        <f t="shared" ca="1" si="21"/>
        <v/>
      </c>
      <c r="H178" s="4"/>
      <c r="I178" s="4"/>
      <c r="J178" s="4"/>
      <c r="K178" s="55" t="str">
        <f t="shared" si="22"/>
        <v/>
      </c>
      <c r="L178" s="90"/>
      <c r="M178" s="91" t="str">
        <f t="shared" ca="1" si="23"/>
        <v/>
      </c>
    </row>
    <row r="179" spans="1:13" ht="21" customHeight="1" thickTop="1" thickBot="1" x14ac:dyDescent="0.35">
      <c r="A179" s="88" t="str">
        <f>IF(الجدول1[[#This Row],[اسم العميل]]="", "", ROWS($A$12:الجدول1[[#This Row],[اسم العميل]]))</f>
        <v/>
      </c>
      <c r="B179" s="4"/>
      <c r="C179" s="4"/>
      <c r="D179" s="11"/>
      <c r="E179" s="4"/>
      <c r="F179" s="12"/>
      <c r="G179" s="15" t="str">
        <f t="shared" ca="1" si="21"/>
        <v/>
      </c>
      <c r="H179" s="4"/>
      <c r="I179" s="4"/>
      <c r="J179" s="4"/>
      <c r="K179" s="55" t="str">
        <f t="shared" si="22"/>
        <v/>
      </c>
      <c r="L179" s="90"/>
      <c r="M179" s="91" t="str">
        <f t="shared" ca="1" si="23"/>
        <v/>
      </c>
    </row>
    <row r="180" spans="1:13" ht="21" customHeight="1" thickTop="1" thickBot="1" x14ac:dyDescent="0.35">
      <c r="A180" s="88" t="str">
        <f>IF(الجدول1[[#This Row],[اسم العميل]]="", "", ROWS($A$12:الجدول1[[#This Row],[اسم العميل]]))</f>
        <v/>
      </c>
      <c r="B180" s="4"/>
      <c r="C180" s="4"/>
      <c r="D180" s="11"/>
      <c r="E180" s="4"/>
      <c r="F180" s="12"/>
      <c r="G180" s="15" t="str">
        <f t="shared" ca="1" si="21"/>
        <v/>
      </c>
      <c r="H180" s="4"/>
      <c r="I180" s="4"/>
      <c r="J180" s="4"/>
      <c r="K180" s="55" t="str">
        <f t="shared" si="22"/>
        <v/>
      </c>
      <c r="L180" s="90"/>
      <c r="M180" s="91" t="str">
        <f t="shared" ca="1" si="23"/>
        <v/>
      </c>
    </row>
    <row r="181" spans="1:13" ht="21" customHeight="1" thickTop="1" thickBot="1" x14ac:dyDescent="0.35">
      <c r="A181" s="88" t="str">
        <f>IF(الجدول1[[#This Row],[اسم العميل]]="", "", ROWS($A$12:الجدول1[[#This Row],[اسم العميل]]))</f>
        <v/>
      </c>
      <c r="B181" s="4"/>
      <c r="C181" s="4"/>
      <c r="D181" s="11"/>
      <c r="E181" s="4"/>
      <c r="F181" s="12"/>
      <c r="G181" s="15" t="str">
        <f t="shared" ca="1" si="21"/>
        <v/>
      </c>
      <c r="H181" s="4"/>
      <c r="I181" s="4"/>
      <c r="J181" s="4"/>
      <c r="K181" s="55" t="str">
        <f t="shared" si="22"/>
        <v/>
      </c>
      <c r="L181" s="90"/>
      <c r="M181" s="91" t="str">
        <f t="shared" ca="1" si="23"/>
        <v/>
      </c>
    </row>
    <row r="182" spans="1:13" ht="21" customHeight="1" thickTop="1" thickBot="1" x14ac:dyDescent="0.35">
      <c r="A182" s="88" t="str">
        <f>IF(الجدول1[[#This Row],[اسم العميل]]="", "", ROWS($A$12:الجدول1[[#This Row],[اسم العميل]]))</f>
        <v/>
      </c>
      <c r="B182" s="4"/>
      <c r="C182" s="4"/>
      <c r="D182" s="11"/>
      <c r="E182" s="4"/>
      <c r="F182" s="12"/>
      <c r="G182" s="15" t="str">
        <f t="shared" ca="1" si="21"/>
        <v/>
      </c>
      <c r="H182" s="4"/>
      <c r="I182" s="4"/>
      <c r="J182" s="4"/>
      <c r="K182" s="55" t="str">
        <f t="shared" si="22"/>
        <v/>
      </c>
      <c r="L182" s="90"/>
      <c r="M182" s="91" t="str">
        <f t="shared" ca="1" si="23"/>
        <v/>
      </c>
    </row>
    <row r="183" spans="1:13" ht="21" customHeight="1" thickTop="1" thickBot="1" x14ac:dyDescent="0.35">
      <c r="A183" s="88" t="str">
        <f>IF(الجدول1[[#This Row],[اسم العميل]]="", "", ROWS($A$12:الجدول1[[#This Row],[اسم العميل]]))</f>
        <v/>
      </c>
      <c r="B183" s="4"/>
      <c r="C183" s="4"/>
      <c r="D183" s="11"/>
      <c r="E183" s="4"/>
      <c r="F183" s="12"/>
      <c r="G183" s="15" t="str">
        <f t="shared" ca="1" si="21"/>
        <v/>
      </c>
      <c r="H183" s="4"/>
      <c r="I183" s="4"/>
      <c r="J183" s="4"/>
      <c r="K183" s="55" t="str">
        <f t="shared" si="22"/>
        <v/>
      </c>
      <c r="L183" s="90"/>
      <c r="M183" s="91" t="str">
        <f t="shared" ca="1" si="23"/>
        <v/>
      </c>
    </row>
    <row r="184" spans="1:13" ht="21" customHeight="1" thickTop="1" thickBot="1" x14ac:dyDescent="0.35">
      <c r="A184" s="88" t="str">
        <f>IF(الجدول1[[#This Row],[اسم العميل]]="", "", ROWS($A$12:الجدول1[[#This Row],[اسم العميل]]))</f>
        <v/>
      </c>
      <c r="B184" s="4"/>
      <c r="C184" s="4"/>
      <c r="D184" s="11"/>
      <c r="E184" s="4"/>
      <c r="F184" s="12"/>
      <c r="G184" s="15" t="str">
        <f t="shared" ca="1" si="21"/>
        <v/>
      </c>
      <c r="H184" s="4"/>
      <c r="I184" s="4"/>
      <c r="J184" s="4"/>
      <c r="K184" s="55" t="str">
        <f t="shared" si="22"/>
        <v/>
      </c>
      <c r="L184" s="90"/>
      <c r="M184" s="91" t="str">
        <f t="shared" ca="1" si="23"/>
        <v/>
      </c>
    </row>
    <row r="185" spans="1:13" ht="21" customHeight="1" thickTop="1" thickBot="1" x14ac:dyDescent="0.35">
      <c r="A185" s="88" t="str">
        <f>IF(الجدول1[[#This Row],[اسم العميل]]="", "", ROWS($A$12:الجدول1[[#This Row],[اسم العميل]]))</f>
        <v/>
      </c>
      <c r="B185" s="4"/>
      <c r="C185" s="4"/>
      <c r="D185" s="11"/>
      <c r="E185" s="4"/>
      <c r="F185" s="12"/>
      <c r="G185" s="15" t="str">
        <f t="shared" ca="1" si="21"/>
        <v/>
      </c>
      <c r="H185" s="4"/>
      <c r="I185" s="4"/>
      <c r="J185" s="4"/>
      <c r="K185" s="55" t="str">
        <f t="shared" si="22"/>
        <v/>
      </c>
      <c r="L185" s="90"/>
      <c r="M185" s="91" t="str">
        <f t="shared" ca="1" si="23"/>
        <v/>
      </c>
    </row>
    <row r="186" spans="1:13" ht="21" customHeight="1" thickTop="1" thickBot="1" x14ac:dyDescent="0.35">
      <c r="A186" s="88" t="str">
        <f>IF(الجدول1[[#This Row],[اسم العميل]]="", "", ROWS($A$12:الجدول1[[#This Row],[اسم العميل]]))</f>
        <v/>
      </c>
      <c r="B186" s="4"/>
      <c r="C186" s="4"/>
      <c r="D186" s="11"/>
      <c r="E186" s="4"/>
      <c r="F186" s="12"/>
      <c r="G186" s="15" t="str">
        <f t="shared" ca="1" si="21"/>
        <v/>
      </c>
      <c r="H186" s="4"/>
      <c r="I186" s="4"/>
      <c r="J186" s="4"/>
      <c r="K186" s="55" t="str">
        <f t="shared" si="22"/>
        <v/>
      </c>
      <c r="L186" s="90"/>
      <c r="M186" s="91" t="str">
        <f t="shared" ca="1" si="23"/>
        <v/>
      </c>
    </row>
    <row r="187" spans="1:13" ht="21" customHeight="1" thickTop="1" thickBot="1" x14ac:dyDescent="0.35">
      <c r="A187" s="88" t="str">
        <f>IF(الجدول1[[#This Row],[اسم العميل]]="", "", ROWS($A$12:الجدول1[[#This Row],[اسم العميل]]))</f>
        <v/>
      </c>
      <c r="B187" s="4"/>
      <c r="C187" s="4"/>
      <c r="D187" s="11"/>
      <c r="E187" s="4"/>
      <c r="F187" s="12"/>
      <c r="G187" s="15" t="str">
        <f t="shared" ca="1" si="21"/>
        <v/>
      </c>
      <c r="H187" s="4"/>
      <c r="I187" s="4"/>
      <c r="J187" s="4"/>
      <c r="K187" s="55" t="str">
        <f t="shared" si="22"/>
        <v/>
      </c>
      <c r="L187" s="90"/>
      <c r="M187" s="91" t="str">
        <f t="shared" ca="1" si="23"/>
        <v/>
      </c>
    </row>
    <row r="188" spans="1:13" ht="21" customHeight="1" thickTop="1" thickBot="1" x14ac:dyDescent="0.35">
      <c r="A188" s="88" t="str">
        <f>IF(الجدول1[[#This Row],[اسم العميل]]="", "", ROWS($A$12:الجدول1[[#This Row],[اسم العميل]]))</f>
        <v/>
      </c>
      <c r="B188" s="4"/>
      <c r="C188" s="4"/>
      <c r="D188" s="11"/>
      <c r="E188" s="4"/>
      <c r="F188" s="12"/>
      <c r="G188" s="15" t="str">
        <f t="shared" ca="1" si="21"/>
        <v/>
      </c>
      <c r="H188" s="4"/>
      <c r="I188" s="4"/>
      <c r="J188" s="4"/>
      <c r="K188" s="55" t="str">
        <f t="shared" si="22"/>
        <v/>
      </c>
      <c r="L188" s="90"/>
      <c r="M188" s="91" t="str">
        <f t="shared" ca="1" si="23"/>
        <v/>
      </c>
    </row>
    <row r="189" spans="1:13" ht="21" customHeight="1" thickTop="1" thickBot="1" x14ac:dyDescent="0.35">
      <c r="A189" s="88" t="str">
        <f>IF(الجدول1[[#This Row],[اسم العميل]]="", "", ROWS($A$12:الجدول1[[#This Row],[اسم العميل]]))</f>
        <v/>
      </c>
      <c r="B189" s="4"/>
      <c r="C189" s="4"/>
      <c r="D189" s="11"/>
      <c r="E189" s="4"/>
      <c r="F189" s="12"/>
      <c r="G189" s="15" t="str">
        <f t="shared" ca="1" si="21"/>
        <v/>
      </c>
      <c r="H189" s="4"/>
      <c r="I189" s="4"/>
      <c r="J189" s="4"/>
      <c r="K189" s="55" t="str">
        <f t="shared" si="22"/>
        <v/>
      </c>
      <c r="L189" s="90"/>
      <c r="M189" s="91" t="str">
        <f t="shared" ca="1" si="23"/>
        <v/>
      </c>
    </row>
    <row r="190" spans="1:13" ht="21" customHeight="1" thickTop="1" thickBot="1" x14ac:dyDescent="0.35">
      <c r="A190" s="88" t="str">
        <f>IF(الجدول1[[#This Row],[اسم العميل]]="", "", ROWS($A$12:الجدول1[[#This Row],[اسم العميل]]))</f>
        <v/>
      </c>
      <c r="B190" s="4"/>
      <c r="C190" s="4"/>
      <c r="D190" s="11"/>
      <c r="E190" s="4"/>
      <c r="F190" s="12"/>
      <c r="G190" s="15" t="str">
        <f t="shared" ca="1" si="21"/>
        <v/>
      </c>
      <c r="H190" s="4"/>
      <c r="I190" s="4"/>
      <c r="J190" s="4"/>
      <c r="K190" s="55" t="str">
        <f t="shared" si="22"/>
        <v/>
      </c>
      <c r="L190" s="90"/>
      <c r="M190" s="91" t="str">
        <f t="shared" ca="1" si="23"/>
        <v/>
      </c>
    </row>
    <row r="191" spans="1:13" ht="21" customHeight="1" thickTop="1" thickBot="1" x14ac:dyDescent="0.35">
      <c r="A191" s="88" t="str">
        <f>IF(الجدول1[[#This Row],[اسم العميل]]="", "", ROWS($A$12:الجدول1[[#This Row],[اسم العميل]]))</f>
        <v/>
      </c>
      <c r="B191" s="4"/>
      <c r="C191" s="4"/>
      <c r="D191" s="11"/>
      <c r="E191" s="4"/>
      <c r="F191" s="12"/>
      <c r="G191" s="15" t="str">
        <f t="shared" ca="1" si="21"/>
        <v/>
      </c>
      <c r="H191" s="4"/>
      <c r="I191" s="4"/>
      <c r="J191" s="4"/>
      <c r="K191" s="55" t="str">
        <f t="shared" si="22"/>
        <v/>
      </c>
      <c r="L191" s="90"/>
      <c r="M191" s="91" t="str">
        <f t="shared" ca="1" si="23"/>
        <v/>
      </c>
    </row>
    <row r="192" spans="1:13" ht="21" customHeight="1" thickTop="1" thickBot="1" x14ac:dyDescent="0.35">
      <c r="A192" s="88" t="str">
        <f>IF(الجدول1[[#This Row],[اسم العميل]]="", "", ROWS($A$12:الجدول1[[#This Row],[اسم العميل]]))</f>
        <v/>
      </c>
      <c r="B192" s="4"/>
      <c r="C192" s="4"/>
      <c r="D192" s="11"/>
      <c r="E192" s="4"/>
      <c r="F192" s="12"/>
      <c r="G192" s="15" t="str">
        <f t="shared" ca="1" si="21"/>
        <v/>
      </c>
      <c r="H192" s="4"/>
      <c r="I192" s="4"/>
      <c r="J192" s="4"/>
      <c r="K192" s="55" t="str">
        <f t="shared" si="22"/>
        <v/>
      </c>
      <c r="L192" s="90"/>
      <c r="M192" s="91" t="str">
        <f t="shared" ca="1" si="23"/>
        <v/>
      </c>
    </row>
    <row r="193" spans="1:13" ht="21" customHeight="1" thickTop="1" thickBot="1" x14ac:dyDescent="0.35">
      <c r="A193" s="88" t="str">
        <f>IF(الجدول1[[#This Row],[اسم العميل]]="", "", ROWS($A$12:الجدول1[[#This Row],[اسم العميل]]))</f>
        <v/>
      </c>
      <c r="B193" s="4"/>
      <c r="C193" s="4"/>
      <c r="D193" s="11"/>
      <c r="E193" s="4"/>
      <c r="F193" s="12"/>
      <c r="G193" s="15" t="str">
        <f t="shared" ca="1" si="21"/>
        <v/>
      </c>
      <c r="H193" s="4"/>
      <c r="I193" s="4"/>
      <c r="J193" s="4"/>
      <c r="K193" s="55" t="str">
        <f t="shared" si="22"/>
        <v/>
      </c>
      <c r="L193" s="90"/>
      <c r="M193" s="91" t="str">
        <f t="shared" ca="1" si="23"/>
        <v/>
      </c>
    </row>
    <row r="194" spans="1:13" ht="21" customHeight="1" thickTop="1" thickBot="1" x14ac:dyDescent="0.35">
      <c r="A194" s="88" t="str">
        <f>IF(الجدول1[[#This Row],[اسم العميل]]="", "", ROWS($A$12:الجدول1[[#This Row],[اسم العميل]]))</f>
        <v/>
      </c>
      <c r="B194" s="4"/>
      <c r="C194" s="4"/>
      <c r="D194" s="11"/>
      <c r="E194" s="4"/>
      <c r="F194" s="12"/>
      <c r="G194" s="15" t="str">
        <f t="shared" ca="1" si="21"/>
        <v/>
      </c>
      <c r="H194" s="4"/>
      <c r="I194" s="4"/>
      <c r="J194" s="4"/>
      <c r="K194" s="55" t="str">
        <f t="shared" si="22"/>
        <v/>
      </c>
      <c r="L194" s="90"/>
      <c r="M194" s="91" t="str">
        <f t="shared" ca="1" si="23"/>
        <v/>
      </c>
    </row>
    <row r="195" spans="1:13" ht="21" customHeight="1" thickTop="1" thickBot="1" x14ac:dyDescent="0.35">
      <c r="A195" s="88" t="str">
        <f>IF(الجدول1[[#This Row],[اسم العميل]]="", "", ROWS($A$12:الجدول1[[#This Row],[اسم العميل]]))</f>
        <v/>
      </c>
      <c r="B195" s="4"/>
      <c r="C195" s="4"/>
      <c r="D195" s="11"/>
      <c r="E195" s="4"/>
      <c r="F195" s="12"/>
      <c r="G195" s="15" t="str">
        <f t="shared" ca="1" si="21"/>
        <v/>
      </c>
      <c r="H195" s="4"/>
      <c r="I195" s="4"/>
      <c r="J195" s="4"/>
      <c r="K195" s="55" t="str">
        <f t="shared" si="22"/>
        <v/>
      </c>
      <c r="L195" s="90"/>
      <c r="M195" s="91" t="str">
        <f t="shared" ca="1" si="23"/>
        <v/>
      </c>
    </row>
    <row r="196" spans="1:13" ht="21" customHeight="1" thickTop="1" thickBot="1" x14ac:dyDescent="0.35">
      <c r="A196" s="88" t="str">
        <f>IF(الجدول1[[#This Row],[اسم العميل]]="", "", ROWS($A$12:الجدول1[[#This Row],[اسم العميل]]))</f>
        <v/>
      </c>
      <c r="B196" s="4"/>
      <c r="C196" s="4"/>
      <c r="D196" s="11"/>
      <c r="E196" s="4"/>
      <c r="F196" s="12"/>
      <c r="G196" s="15" t="str">
        <f t="shared" ca="1" si="21"/>
        <v/>
      </c>
      <c r="H196" s="4"/>
      <c r="I196" s="4"/>
      <c r="J196" s="4"/>
      <c r="K196" s="55" t="str">
        <f t="shared" si="22"/>
        <v/>
      </c>
      <c r="L196" s="90"/>
      <c r="M196" s="91" t="str">
        <f t="shared" ca="1" si="23"/>
        <v/>
      </c>
    </row>
    <row r="197" spans="1:13" ht="21" customHeight="1" thickTop="1" thickBot="1" x14ac:dyDescent="0.35">
      <c r="A197" s="88" t="str">
        <f>IF(الجدول1[[#This Row],[اسم العميل]]="", "", ROWS($A$12:الجدول1[[#This Row],[اسم العميل]]))</f>
        <v/>
      </c>
      <c r="B197" s="4"/>
      <c r="C197" s="4"/>
      <c r="D197" s="11"/>
      <c r="E197" s="4"/>
      <c r="F197" s="12"/>
      <c r="G197" s="15" t="str">
        <f t="shared" ca="1" si="21"/>
        <v/>
      </c>
      <c r="H197" s="4"/>
      <c r="I197" s="4"/>
      <c r="J197" s="4"/>
      <c r="K197" s="55" t="str">
        <f t="shared" si="22"/>
        <v/>
      </c>
      <c r="L197" s="90"/>
      <c r="M197" s="91" t="str">
        <f t="shared" ca="1" si="23"/>
        <v/>
      </c>
    </row>
    <row r="198" spans="1:13" ht="21" customHeight="1" thickTop="1" thickBot="1" x14ac:dyDescent="0.35">
      <c r="A198" s="88" t="str">
        <f>IF(الجدول1[[#This Row],[اسم العميل]]="", "", ROWS($A$12:الجدول1[[#This Row],[اسم العميل]]))</f>
        <v/>
      </c>
      <c r="B198" s="4"/>
      <c r="C198" s="4"/>
      <c r="D198" s="11"/>
      <c r="E198" s="4"/>
      <c r="F198" s="12"/>
      <c r="G198" s="15" t="str">
        <f t="shared" ca="1" si="21"/>
        <v/>
      </c>
      <c r="H198" s="4"/>
      <c r="I198" s="4"/>
      <c r="J198" s="4"/>
      <c r="K198" s="55" t="str">
        <f t="shared" si="22"/>
        <v/>
      </c>
      <c r="L198" s="90"/>
      <c r="M198" s="91" t="str">
        <f t="shared" ca="1" si="23"/>
        <v/>
      </c>
    </row>
    <row r="199" spans="1:13" ht="21" customHeight="1" thickTop="1" thickBot="1" x14ac:dyDescent="0.35">
      <c r="A199" s="88" t="str">
        <f>IF(الجدول1[[#This Row],[اسم العميل]]="", "", ROWS($A$12:الجدول1[[#This Row],[اسم العميل]]))</f>
        <v/>
      </c>
      <c r="B199" s="4"/>
      <c r="C199" s="4"/>
      <c r="D199" s="11"/>
      <c r="E199" s="4"/>
      <c r="F199" s="12"/>
      <c r="G199" s="15" t="str">
        <f t="shared" ca="1" si="21"/>
        <v/>
      </c>
      <c r="H199" s="4"/>
      <c r="I199" s="4"/>
      <c r="J199" s="4"/>
      <c r="K199" s="55" t="str">
        <f t="shared" si="22"/>
        <v/>
      </c>
      <c r="L199" s="90"/>
      <c r="M199" s="91" t="str">
        <f t="shared" ca="1" si="23"/>
        <v/>
      </c>
    </row>
    <row r="200" spans="1:13" ht="21" customHeight="1" thickTop="1" thickBot="1" x14ac:dyDescent="0.35">
      <c r="A200" s="88" t="str">
        <f>IF(الجدول1[[#This Row],[اسم العميل]]="", "", ROWS($A$12:الجدول1[[#This Row],[اسم العميل]]))</f>
        <v/>
      </c>
      <c r="B200" s="4"/>
      <c r="C200" s="4"/>
      <c r="D200" s="11"/>
      <c r="E200" s="4"/>
      <c r="F200" s="12"/>
      <c r="G200" s="15" t="str">
        <f t="shared" ca="1" si="21"/>
        <v/>
      </c>
      <c r="H200" s="4"/>
      <c r="I200" s="4"/>
      <c r="J200" s="4"/>
      <c r="K200" s="55" t="str">
        <f t="shared" si="22"/>
        <v/>
      </c>
      <c r="L200" s="90"/>
      <c r="M200" s="91" t="str">
        <f t="shared" ca="1" si="23"/>
        <v/>
      </c>
    </row>
    <row r="201" spans="1:13" ht="21" customHeight="1" thickTop="1" thickBot="1" x14ac:dyDescent="0.35">
      <c r="A201" s="88" t="str">
        <f>IF(الجدول1[[#This Row],[اسم العميل]]="", "", ROWS($A$12:الجدول1[[#This Row],[اسم العميل]]))</f>
        <v/>
      </c>
      <c r="B201" s="4"/>
      <c r="C201" s="4"/>
      <c r="D201" s="11"/>
      <c r="E201" s="4"/>
      <c r="F201" s="12"/>
      <c r="G201" s="15" t="str">
        <f t="shared" ca="1" si="21"/>
        <v/>
      </c>
      <c r="H201" s="4"/>
      <c r="I201" s="4"/>
      <c r="J201" s="4"/>
      <c r="K201" s="55" t="str">
        <f t="shared" si="22"/>
        <v/>
      </c>
      <c r="L201" s="90"/>
      <c r="M201" s="91" t="str">
        <f t="shared" ca="1" si="23"/>
        <v/>
      </c>
    </row>
    <row r="202" spans="1:13" ht="21" customHeight="1" thickTop="1" thickBot="1" x14ac:dyDescent="0.35">
      <c r="A202" s="88" t="str">
        <f>IF(الجدول1[[#This Row],[اسم العميل]]="", "", ROWS($A$12:الجدول1[[#This Row],[اسم العميل]]))</f>
        <v/>
      </c>
      <c r="B202" s="4"/>
      <c r="C202" s="4"/>
      <c r="D202" s="11"/>
      <c r="E202" s="4"/>
      <c r="F202" s="12"/>
      <c r="G202" s="15" t="str">
        <f t="shared" ca="1" si="21"/>
        <v/>
      </c>
      <c r="H202" s="4"/>
      <c r="I202" s="4"/>
      <c r="J202" s="4"/>
      <c r="K202" s="55" t="str">
        <f t="shared" si="22"/>
        <v/>
      </c>
      <c r="L202" s="90"/>
      <c r="M202" s="91" t="str">
        <f t="shared" ca="1" si="23"/>
        <v/>
      </c>
    </row>
    <row r="203" spans="1:13" ht="21" customHeight="1" thickTop="1" thickBot="1" x14ac:dyDescent="0.35">
      <c r="A203" s="88" t="str">
        <f>IF(الجدول1[[#This Row],[اسم العميل]]="", "", ROWS($A$12:الجدول1[[#This Row],[اسم العميل]]))</f>
        <v/>
      </c>
      <c r="B203" s="4"/>
      <c r="C203" s="4"/>
      <c r="D203" s="11"/>
      <c r="E203" s="4"/>
      <c r="F203" s="12"/>
      <c r="G203" s="15" t="str">
        <f t="shared" ca="1" si="21"/>
        <v/>
      </c>
      <c r="H203" s="4"/>
      <c r="I203" s="4"/>
      <c r="J203" s="4"/>
      <c r="K203" s="55" t="str">
        <f t="shared" si="22"/>
        <v/>
      </c>
      <c r="L203" s="90"/>
      <c r="M203" s="91" t="str">
        <f t="shared" ca="1" si="23"/>
        <v/>
      </c>
    </row>
    <row r="204" spans="1:13" ht="21" customHeight="1" thickTop="1" thickBot="1" x14ac:dyDescent="0.35">
      <c r="A204" s="88" t="str">
        <f>IF(الجدول1[[#This Row],[اسم العميل]]="", "", ROWS($A$12:الجدول1[[#This Row],[اسم العميل]]))</f>
        <v/>
      </c>
      <c r="B204" s="4"/>
      <c r="C204" s="4"/>
      <c r="D204" s="11"/>
      <c r="E204" s="4"/>
      <c r="F204" s="12"/>
      <c r="G204" s="15" t="str">
        <f t="shared" ca="1" si="21"/>
        <v/>
      </c>
      <c r="H204" s="4"/>
      <c r="I204" s="4"/>
      <c r="J204" s="4"/>
      <c r="K204" s="55" t="str">
        <f t="shared" si="22"/>
        <v/>
      </c>
      <c r="L204" s="90"/>
      <c r="M204" s="91" t="str">
        <f t="shared" ca="1" si="23"/>
        <v/>
      </c>
    </row>
    <row r="205" spans="1:13" ht="21" customHeight="1" thickTop="1" thickBot="1" x14ac:dyDescent="0.35">
      <c r="A205" s="88" t="str">
        <f>IF(الجدول1[[#This Row],[اسم العميل]]="", "", ROWS($A$12:الجدول1[[#This Row],[اسم العميل]]))</f>
        <v/>
      </c>
      <c r="B205" s="4"/>
      <c r="C205" s="4"/>
      <c r="D205" s="11"/>
      <c r="E205" s="4"/>
      <c r="F205" s="12"/>
      <c r="G205" s="15" t="str">
        <f t="shared" ca="1" si="21"/>
        <v/>
      </c>
      <c r="H205" s="4"/>
      <c r="I205" s="4"/>
      <c r="J205" s="4"/>
      <c r="K205" s="55" t="str">
        <f t="shared" si="22"/>
        <v/>
      </c>
      <c r="L205" s="90"/>
      <c r="M205" s="91" t="str">
        <f t="shared" ca="1" si="23"/>
        <v/>
      </c>
    </row>
    <row r="206" spans="1:13" ht="21" customHeight="1" thickTop="1" thickBot="1" x14ac:dyDescent="0.35">
      <c r="A206" s="88" t="str">
        <f>IF(الجدول1[[#This Row],[اسم العميل]]="", "", ROWS($A$12:الجدول1[[#This Row],[اسم العميل]]))</f>
        <v/>
      </c>
      <c r="B206" s="4"/>
      <c r="C206" s="4"/>
      <c r="D206" s="11"/>
      <c r="E206" s="4"/>
      <c r="F206" s="12"/>
      <c r="G206" s="15" t="str">
        <f t="shared" ca="1" si="21"/>
        <v/>
      </c>
      <c r="H206" s="4"/>
      <c r="I206" s="4"/>
      <c r="J206" s="4"/>
      <c r="K206" s="55" t="str">
        <f t="shared" si="22"/>
        <v/>
      </c>
      <c r="L206" s="90"/>
      <c r="M206" s="91" t="str">
        <f t="shared" ca="1" si="23"/>
        <v/>
      </c>
    </row>
    <row r="207" spans="1:13" ht="21" customHeight="1" thickTop="1" thickBot="1" x14ac:dyDescent="0.35">
      <c r="A207" s="88" t="str">
        <f>IF(الجدول1[[#This Row],[اسم العميل]]="", "", ROWS($A$12:الجدول1[[#This Row],[اسم العميل]]))</f>
        <v/>
      </c>
      <c r="B207" s="4"/>
      <c r="C207" s="4"/>
      <c r="D207" s="11"/>
      <c r="E207" s="4"/>
      <c r="F207" s="12"/>
      <c r="G207" s="15" t="str">
        <f t="shared" ca="1" si="21"/>
        <v/>
      </c>
      <c r="H207" s="4"/>
      <c r="I207" s="4"/>
      <c r="J207" s="4"/>
      <c r="K207" s="55" t="str">
        <f t="shared" si="22"/>
        <v/>
      </c>
      <c r="L207" s="90"/>
      <c r="M207" s="91" t="str">
        <f t="shared" ca="1" si="23"/>
        <v/>
      </c>
    </row>
    <row r="208" spans="1:13" ht="21" customHeight="1" thickTop="1" thickBot="1" x14ac:dyDescent="0.35">
      <c r="A208" s="88" t="str">
        <f>IF(الجدول1[[#This Row],[اسم العميل]]="", "", ROWS($A$12:الجدول1[[#This Row],[اسم العميل]]))</f>
        <v/>
      </c>
      <c r="B208" s="4"/>
      <c r="C208" s="4"/>
      <c r="D208" s="11"/>
      <c r="E208" s="4"/>
      <c r="F208" s="12"/>
      <c r="G208" s="15" t="str">
        <f t="shared" ref="G208:G211" ca="1" si="24">IF(F208="","",MIN(90,TODAY()-F208))</f>
        <v/>
      </c>
      <c r="H208" s="4"/>
      <c r="I208" s="4"/>
      <c r="J208" s="4"/>
      <c r="K208" s="55" t="str">
        <f t="shared" ref="K208:K211" si="25">IF(J208="", "", J208-I208)</f>
        <v/>
      </c>
      <c r="L208" s="90"/>
      <c r="M208" s="91" t="str">
        <f t="shared" ref="M208:M211" ca="1" si="26">IF(L208="تم الإرسال", "✅ تم الإرسال بنجاح", IF(OR(G208="", G208&lt;80), "", HYPERLINK("https://wa.me/" &amp; D208 &amp; "?text=عزيزنا " &amp; B208 &amp; "، نود تنبيهكم أن مدة تأشيرة العمرة أوشكت على الانتهاء، المتبقي لكم " &amp; (90-G208) &amp; " يوم فقط. نسأل الله تقبل عمرتكم. دمتم بخير - " &amp; E208, "إرسال رسالة")))</f>
        <v/>
      </c>
    </row>
    <row r="209" spans="1:13" ht="21" customHeight="1" thickTop="1" thickBot="1" x14ac:dyDescent="0.35">
      <c r="A209" s="88" t="str">
        <f>IF(الجدول1[[#This Row],[اسم العميل]]="", "", ROWS($A$12:الجدول1[[#This Row],[اسم العميل]]))</f>
        <v/>
      </c>
      <c r="B209" s="4"/>
      <c r="C209" s="4"/>
      <c r="D209" s="11"/>
      <c r="E209" s="4"/>
      <c r="F209" s="12"/>
      <c r="G209" s="15" t="str">
        <f t="shared" ca="1" si="24"/>
        <v/>
      </c>
      <c r="H209" s="4"/>
      <c r="I209" s="4"/>
      <c r="J209" s="4"/>
      <c r="K209" s="55" t="str">
        <f t="shared" si="25"/>
        <v/>
      </c>
      <c r="L209" s="90"/>
      <c r="M209" s="91" t="str">
        <f t="shared" ca="1" si="26"/>
        <v/>
      </c>
    </row>
    <row r="210" spans="1:13" ht="21" customHeight="1" thickTop="1" thickBot="1" x14ac:dyDescent="0.35">
      <c r="A210" s="88" t="str">
        <f>IF(الجدول1[[#This Row],[اسم العميل]]="", "", ROWS($A$12:الجدول1[[#This Row],[اسم العميل]]))</f>
        <v/>
      </c>
      <c r="B210" s="4"/>
      <c r="C210" s="4"/>
      <c r="D210" s="11"/>
      <c r="E210" s="4"/>
      <c r="F210" s="12"/>
      <c r="G210" s="15" t="str">
        <f t="shared" ca="1" si="24"/>
        <v/>
      </c>
      <c r="H210" s="4"/>
      <c r="I210" s="4"/>
      <c r="J210" s="4"/>
      <c r="K210" s="55" t="str">
        <f t="shared" si="25"/>
        <v/>
      </c>
      <c r="L210" s="90"/>
      <c r="M210" s="91" t="str">
        <f t="shared" ca="1" si="26"/>
        <v/>
      </c>
    </row>
    <row r="211" spans="1:13" ht="21" customHeight="1" thickTop="1" thickBot="1" x14ac:dyDescent="0.35">
      <c r="A211" s="88" t="str">
        <f>IF(الجدول1[[#This Row],[اسم العميل]]="", "", ROWS($A$12:الجدول1[[#This Row],[اسم العميل]]))</f>
        <v/>
      </c>
      <c r="B211" s="4"/>
      <c r="C211" s="4"/>
      <c r="D211" s="11"/>
      <c r="E211" s="4"/>
      <c r="F211" s="12"/>
      <c r="G211" s="15" t="str">
        <f t="shared" ca="1" si="24"/>
        <v/>
      </c>
      <c r="H211" s="4"/>
      <c r="I211" s="4"/>
      <c r="J211" s="4"/>
      <c r="K211" s="55" t="str">
        <f t="shared" si="25"/>
        <v/>
      </c>
      <c r="L211" s="90"/>
      <c r="M211" s="91" t="str">
        <f t="shared" ca="1" si="26"/>
        <v/>
      </c>
    </row>
    <row r="212" spans="1:13" ht="21" customHeight="1" thickTop="1" x14ac:dyDescent="0.3"/>
  </sheetData>
  <sheetProtection algorithmName="SHA-512" hashValue="WZsR5PjJnLhjFKf0/16ozaI21F/1swUHrnQPCu9YOr7o6hhCEv5sz9a6FkHomW9Fiou0V59butC6R2ERYCipWw==" saltValue="omr+4H5GU75Wg6Bv9d4ccQ==" spinCount="100000" sheet="1" objects="1" scenarios="1"/>
  <sortState xmlns:xlrd2="http://schemas.microsoft.com/office/spreadsheetml/2017/richdata2" ref="A12:Z110">
    <sortCondition ref="A12"/>
  </sortState>
  <mergeCells count="3">
    <mergeCell ref="I4:M4"/>
    <mergeCell ref="A1:M2"/>
    <mergeCell ref="J3:M3"/>
  </mergeCells>
  <conditionalFormatting sqref="G12:G211">
    <cfRule type="cellIs" dxfId="114" priority="9" operator="greaterThan">
      <formula>80</formula>
    </cfRule>
  </conditionalFormatting>
  <conditionalFormatting sqref="G12:G211">
    <cfRule type="cellIs" dxfId="113" priority="8" operator="greaterThan">
      <formula>79</formula>
    </cfRule>
  </conditionalFormatting>
  <conditionalFormatting sqref="X13:X24">
    <cfRule type="containsText" dxfId="112" priority="6" operator="containsText" text="#N/A">
      <formula>NOT(ISERROR(SEARCH("#N/A",X13)))</formula>
    </cfRule>
    <cfRule type="containsText" dxfId="111" priority="7" operator="containsText" text="#n/a">
      <formula>NOT(ISERROR(SEARCH("#n/a",X13)))</formula>
    </cfRule>
  </conditionalFormatting>
  <conditionalFormatting sqref="X13:Z24">
    <cfRule type="cellIs" dxfId="110" priority="1" operator="equal">
      <formula>#N/A</formula>
    </cfRule>
    <cfRule type="cellIs" dxfId="109" priority="2" operator="equal">
      <formula>#N/A</formula>
    </cfRule>
    <cfRule type="containsText" dxfId="108" priority="4" operator="containsText" text="N/A">
      <formula>NOT(ISERROR(SEARCH("N/A",X13)))</formula>
    </cfRule>
    <cfRule type="containsText" dxfId="107" priority="5" operator="containsText" text=",">
      <formula>NOT(ISERROR(SEARCH(",",X13)))</formula>
    </cfRule>
  </conditionalFormatting>
  <conditionalFormatting sqref="Y13:Z24">
    <cfRule type="containsText" dxfId="106" priority="3" operator="containsText" text="#N/A">
      <formula>NOT(ISERROR(SEARCH("#N/A",Y13)))</formula>
    </cfRule>
  </conditionalFormatting>
  <dataValidations count="1">
    <dataValidation type="list" allowBlank="1" showInputMessage="1" showErrorMessage="1" sqref="L12:L211" xr:uid="{AE13266D-89AD-4C54-BB5D-A210F2C40B27}">
      <formula1>"لم يتم , تم الارسال"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F9073-595F-4972-982B-EAF0157C718A}">
  <sheetPr codeName="ورقة2"/>
  <dimension ref="A1:AD313"/>
  <sheetViews>
    <sheetView rightToLeft="1" zoomScale="70" zoomScaleNormal="70" workbookViewId="0">
      <selection sqref="A1:P2"/>
    </sheetView>
  </sheetViews>
  <sheetFormatPr defaultRowHeight="31.5" customHeight="1" x14ac:dyDescent="0.3"/>
  <cols>
    <col min="1" max="1" width="5.1640625" style="99" customWidth="1"/>
    <col min="2" max="2" width="34.58203125" style="99" customWidth="1"/>
    <col min="3" max="3" width="17.9140625" style="99" customWidth="1"/>
    <col min="4" max="4" width="22.33203125" style="99" customWidth="1"/>
    <col min="5" max="5" width="21" style="106" customWidth="1"/>
    <col min="6" max="6" width="18.25" style="99" customWidth="1"/>
    <col min="7" max="7" width="18.25" style="107" customWidth="1"/>
    <col min="8" max="8" width="14.33203125" style="108" customWidth="1"/>
    <col min="9" max="9" width="20.6640625" style="99" customWidth="1"/>
    <col min="10" max="10" width="12.6640625" style="99" customWidth="1"/>
    <col min="11" max="11" width="11.9140625" style="99" customWidth="1"/>
    <col min="12" max="12" width="19.1640625" style="99" customWidth="1"/>
    <col min="13" max="13" width="19.08203125" style="106" customWidth="1"/>
    <col min="14" max="14" width="16.1640625" style="99" customWidth="1"/>
    <col min="15" max="15" width="15" style="106" customWidth="1"/>
    <col min="16" max="16" width="13.1640625" style="99" customWidth="1"/>
    <col min="17" max="19" width="8.6640625" style="99"/>
    <col min="20" max="20" width="9.6640625" style="99" customWidth="1"/>
    <col min="21" max="21" width="13.75" style="105" bestFit="1" customWidth="1"/>
    <col min="22" max="22" width="13.58203125" style="105" bestFit="1" customWidth="1"/>
    <col min="23" max="23" width="16.5" style="105" customWidth="1"/>
    <col min="24" max="24" width="17" style="105" bestFit="1" customWidth="1"/>
    <col min="25" max="25" width="17.83203125" style="105" bestFit="1" customWidth="1"/>
    <col min="26" max="26" width="21.83203125" style="99" bestFit="1" customWidth="1"/>
    <col min="27" max="27" width="25" style="99" bestFit="1" customWidth="1"/>
    <col min="28" max="28" width="21.33203125" style="99" customWidth="1"/>
    <col min="29" max="29" width="24.5" style="99" customWidth="1"/>
    <col min="30" max="30" width="17.83203125" style="99" customWidth="1"/>
    <col min="31" max="31" width="11.6640625" style="99" customWidth="1"/>
    <col min="32" max="32" width="11.08203125" style="99" customWidth="1"/>
    <col min="33" max="16384" width="8.6640625" style="99"/>
  </cols>
  <sheetData>
    <row r="1" spans="1:30" ht="31.5" customHeight="1" x14ac:dyDescent="0.3">
      <c r="A1" s="159" t="s">
        <v>21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</row>
    <row r="2" spans="1:30" ht="31.5" customHeight="1" x14ac:dyDescent="0.3">
      <c r="A2" s="159"/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</row>
    <row r="6" spans="1:30" ht="31.5" customHeight="1" x14ac:dyDescent="0.3">
      <c r="N6" s="109"/>
    </row>
    <row r="8" spans="1:30" ht="31.5" customHeight="1" thickBot="1" x14ac:dyDescent="0.35"/>
    <row r="9" spans="1:30" ht="31.5" customHeight="1" thickBot="1" x14ac:dyDescent="0.35">
      <c r="A9" s="110" t="s">
        <v>18</v>
      </c>
      <c r="B9" s="56"/>
      <c r="J9" s="99" t="s">
        <v>26</v>
      </c>
    </row>
    <row r="10" spans="1:30" ht="31.5" customHeight="1" thickBot="1" x14ac:dyDescent="0.35"/>
    <row r="11" spans="1:30" s="115" customFormat="1" ht="43.5" customHeight="1" thickTop="1" thickBot="1" x14ac:dyDescent="0.55000000000000004">
      <c r="A11" s="97" t="s">
        <v>0</v>
      </c>
      <c r="B11" s="111" t="s">
        <v>1</v>
      </c>
      <c r="C11" s="111" t="s">
        <v>4</v>
      </c>
      <c r="D11" s="111" t="s">
        <v>28</v>
      </c>
      <c r="E11" s="112" t="s">
        <v>5</v>
      </c>
      <c r="F11" s="111" t="s">
        <v>8</v>
      </c>
      <c r="G11" s="113" t="s">
        <v>33</v>
      </c>
      <c r="H11" s="114" t="s">
        <v>41</v>
      </c>
      <c r="I11" s="111" t="s">
        <v>38</v>
      </c>
      <c r="J11" s="111" t="s">
        <v>16</v>
      </c>
      <c r="K11" s="111" t="s">
        <v>17</v>
      </c>
      <c r="L11" s="111" t="s">
        <v>22</v>
      </c>
      <c r="M11" s="93" t="s">
        <v>23</v>
      </c>
      <c r="N11" s="111" t="s">
        <v>24</v>
      </c>
      <c r="O11" s="116" t="s">
        <v>25</v>
      </c>
      <c r="P11" s="94" t="s">
        <v>6</v>
      </c>
      <c r="Z11" s="99"/>
      <c r="AA11" s="99"/>
      <c r="AB11" s="99"/>
      <c r="AC11" s="99"/>
      <c r="AD11" s="99"/>
    </row>
    <row r="12" spans="1:30" ht="31.5" customHeight="1" thickTop="1" thickBot="1" x14ac:dyDescent="0.35">
      <c r="A12" s="98" t="str">
        <f>IF(B12&lt;&gt;"", ROWS($A$12:A12), "")</f>
        <v/>
      </c>
      <c r="B12" s="57"/>
      <c r="C12" s="57"/>
      <c r="D12" s="57"/>
      <c r="E12" s="59"/>
      <c r="F12" s="57"/>
      <c r="G12" s="61"/>
      <c r="H12" s="67"/>
      <c r="I12" s="57"/>
      <c r="J12" s="57"/>
      <c r="K12" s="57"/>
      <c r="L12" s="57"/>
      <c r="M12" s="95">
        <f>الجدول2[[#This Row],[سعر البيع]]-الجدول2[[#This Row],[ المستلم من العميل]]</f>
        <v>0</v>
      </c>
      <c r="N12" s="57"/>
      <c r="O12" s="95">
        <f>الجدول2[[#This Row],[سعرالشراء]]-N12</f>
        <v>0</v>
      </c>
      <c r="P12" s="96">
        <f>الجدول2[[#This Row],[سعر البيع]]-الجدول2[[#This Row],[سعرالشراء]]</f>
        <v>0</v>
      </c>
    </row>
    <row r="13" spans="1:30" ht="31.5" customHeight="1" thickTop="1" thickBot="1" x14ac:dyDescent="0.35">
      <c r="A13" s="98" t="str">
        <f>IF(B13&lt;&gt;"", ROWS($A$12:A13), "")</f>
        <v/>
      </c>
      <c r="B13" s="57"/>
      <c r="C13" s="57"/>
      <c r="D13" s="57"/>
      <c r="E13" s="59"/>
      <c r="F13" s="57"/>
      <c r="G13" s="61"/>
      <c r="H13" s="67"/>
      <c r="I13" s="57"/>
      <c r="J13" s="57"/>
      <c r="K13" s="57"/>
      <c r="L13" s="57"/>
      <c r="M13" s="95">
        <f>الجدول2[[#This Row],[سعر البيع]]-الجدول2[[#This Row],[ المستلم من العميل]]</f>
        <v>0</v>
      </c>
      <c r="N13" s="57"/>
      <c r="O13" s="95">
        <f>الجدول2[[#This Row],[سعرالشراء]]-N13</f>
        <v>0</v>
      </c>
      <c r="P13" s="96">
        <f>الجدول2[[#This Row],[سعر البيع]]-الجدول2[[#This Row],[سعرالشراء]]</f>
        <v>0</v>
      </c>
    </row>
    <row r="14" spans="1:30" ht="31.5" customHeight="1" thickTop="1" thickBot="1" x14ac:dyDescent="0.35">
      <c r="A14" s="98" t="str">
        <f>IF(B14&lt;&gt;"", ROWS($A$12:A14), "")</f>
        <v/>
      </c>
      <c r="B14" s="57"/>
      <c r="C14" s="57"/>
      <c r="D14" s="57"/>
      <c r="E14" s="59"/>
      <c r="F14" s="57"/>
      <c r="G14" s="61"/>
      <c r="H14" s="67"/>
      <c r="I14" s="57"/>
      <c r="J14" s="57"/>
      <c r="K14" s="57"/>
      <c r="L14" s="57"/>
      <c r="M14" s="95">
        <f>الجدول2[[#This Row],[سعر البيع]]-الجدول2[[#This Row],[ المستلم من العميل]]</f>
        <v>0</v>
      </c>
      <c r="N14" s="57"/>
      <c r="O14" s="95">
        <f>الجدول2[[#This Row],[سعرالشراء]]-N14</f>
        <v>0</v>
      </c>
      <c r="P14" s="96">
        <f>الجدول2[[#This Row],[سعر البيع]]-الجدول2[[#This Row],[سعرالشراء]]</f>
        <v>0</v>
      </c>
    </row>
    <row r="15" spans="1:30" ht="31.5" customHeight="1" thickTop="1" thickBot="1" x14ac:dyDescent="0.35">
      <c r="A15" s="98" t="str">
        <f>IF(B15&lt;&gt;"", ROWS($A$12:A15), "")</f>
        <v/>
      </c>
      <c r="B15" s="57"/>
      <c r="C15" s="57"/>
      <c r="D15" s="57"/>
      <c r="E15" s="59"/>
      <c r="F15" s="57"/>
      <c r="G15" s="61"/>
      <c r="H15" s="67"/>
      <c r="I15" s="57"/>
      <c r="J15" s="57"/>
      <c r="K15" s="57"/>
      <c r="L15" s="57"/>
      <c r="M15" s="95">
        <f>الجدول2[[#This Row],[سعر البيع]]-الجدول2[[#This Row],[ المستلم من العميل]]</f>
        <v>0</v>
      </c>
      <c r="N15" s="57"/>
      <c r="O15" s="95">
        <f>الجدول2[[#This Row],[سعرالشراء]]-N15</f>
        <v>0</v>
      </c>
      <c r="P15" s="96">
        <f>الجدول2[[#This Row],[سعر البيع]]-الجدول2[[#This Row],[سعرالشراء]]</f>
        <v>0</v>
      </c>
    </row>
    <row r="16" spans="1:30" ht="31.5" customHeight="1" thickTop="1" thickBot="1" x14ac:dyDescent="0.35">
      <c r="A16" s="98" t="str">
        <f>IF(B16&lt;&gt;"", ROWS($A$12:A16), "")</f>
        <v/>
      </c>
      <c r="B16" s="57"/>
      <c r="C16" s="57"/>
      <c r="D16" s="57"/>
      <c r="E16" s="59"/>
      <c r="F16" s="57"/>
      <c r="G16" s="61"/>
      <c r="H16" s="67"/>
      <c r="I16" s="57"/>
      <c r="J16" s="57"/>
      <c r="K16" s="57"/>
      <c r="L16" s="57"/>
      <c r="M16" s="95">
        <f>الجدول2[[#This Row],[سعر البيع]]-الجدول2[[#This Row],[ المستلم من العميل]]</f>
        <v>0</v>
      </c>
      <c r="N16" s="57"/>
      <c r="O16" s="95">
        <f>الجدول2[[#This Row],[سعرالشراء]]-الجدول2[[#This Row],[ المحول للوكيل]]</f>
        <v>0</v>
      </c>
      <c r="P16" s="96">
        <f>الجدول2[[#This Row],[سعر البيع]]-الجدول2[[#This Row],[سعرالشراء]]</f>
        <v>0</v>
      </c>
    </row>
    <row r="17" spans="1:16" ht="31.5" customHeight="1" thickTop="1" thickBot="1" x14ac:dyDescent="0.35">
      <c r="A17" s="98" t="str">
        <f>IF(B17&lt;&gt;"", ROWS($A$12:A17), "")</f>
        <v/>
      </c>
      <c r="B17" s="57"/>
      <c r="C17" s="57"/>
      <c r="D17" s="57"/>
      <c r="E17" s="59"/>
      <c r="F17" s="57"/>
      <c r="G17" s="61"/>
      <c r="H17" s="67"/>
      <c r="I17" s="57"/>
      <c r="J17" s="57"/>
      <c r="K17" s="57"/>
      <c r="L17" s="57"/>
      <c r="M17" s="95">
        <f>الجدول2[[#This Row],[سعر البيع]]-الجدول2[[#This Row],[ المستلم من العميل]]</f>
        <v>0</v>
      </c>
      <c r="N17" s="57"/>
      <c r="O17" s="95">
        <f>الجدول2[[#This Row],[سعرالشراء]]-N17</f>
        <v>0</v>
      </c>
      <c r="P17" s="96">
        <f>الجدول2[[#This Row],[سعر البيع]]-الجدول2[[#This Row],[سعرالشراء]]</f>
        <v>0</v>
      </c>
    </row>
    <row r="18" spans="1:16" ht="31.5" customHeight="1" thickTop="1" thickBot="1" x14ac:dyDescent="0.35">
      <c r="A18" s="98" t="str">
        <f>IF(B18&lt;&gt;"", ROWS($A$12:A18), "")</f>
        <v/>
      </c>
      <c r="B18" s="57"/>
      <c r="C18" s="57"/>
      <c r="D18" s="57"/>
      <c r="E18" s="59"/>
      <c r="F18" s="57"/>
      <c r="G18" s="61"/>
      <c r="H18" s="67"/>
      <c r="I18" s="57"/>
      <c r="J18" s="57"/>
      <c r="K18" s="57"/>
      <c r="L18" s="57"/>
      <c r="M18" s="95">
        <f>الجدول2[[#This Row],[سعر البيع]]-الجدول2[[#This Row],[ المستلم من العميل]]</f>
        <v>0</v>
      </c>
      <c r="N18" s="57"/>
      <c r="O18" s="95">
        <f>الجدول2[[#This Row],[سعرالشراء]]-N18</f>
        <v>0</v>
      </c>
      <c r="P18" s="96">
        <f>الجدول2[[#This Row],[سعر البيع]]-الجدول2[[#This Row],[سعرالشراء]]</f>
        <v>0</v>
      </c>
    </row>
    <row r="19" spans="1:16" ht="31.5" customHeight="1" thickTop="1" thickBot="1" x14ac:dyDescent="0.35">
      <c r="A19" s="98" t="str">
        <f>IF(B19&lt;&gt;"", ROWS($A$12:A19), "")</f>
        <v/>
      </c>
      <c r="B19" s="57"/>
      <c r="C19" s="57"/>
      <c r="D19" s="57"/>
      <c r="E19" s="59"/>
      <c r="F19" s="57"/>
      <c r="G19" s="61"/>
      <c r="H19" s="67"/>
      <c r="I19" s="57"/>
      <c r="J19" s="57"/>
      <c r="K19" s="57"/>
      <c r="L19" s="57"/>
      <c r="M19" s="95">
        <f>الجدول2[[#This Row],[سعر البيع]]-الجدول2[[#This Row],[ المستلم من العميل]]</f>
        <v>0</v>
      </c>
      <c r="N19" s="57"/>
      <c r="O19" s="95">
        <f>الجدول2[[#This Row],[سعرالشراء]]-N19</f>
        <v>0</v>
      </c>
      <c r="P19" s="96">
        <f>الجدول2[[#This Row],[سعر البيع]]-الجدول2[[#This Row],[سعرالشراء]]</f>
        <v>0</v>
      </c>
    </row>
    <row r="20" spans="1:16" ht="31.5" customHeight="1" thickTop="1" thickBot="1" x14ac:dyDescent="0.35">
      <c r="A20" s="98" t="str">
        <f>IF(B20&lt;&gt;"", ROWS($A$12:A20), "")</f>
        <v/>
      </c>
      <c r="B20" s="57"/>
      <c r="C20" s="57"/>
      <c r="D20" s="57"/>
      <c r="E20" s="59"/>
      <c r="F20" s="57"/>
      <c r="G20" s="61"/>
      <c r="H20" s="67"/>
      <c r="I20" s="57"/>
      <c r="J20" s="57"/>
      <c r="K20" s="57"/>
      <c r="L20" s="57"/>
      <c r="M20" s="95">
        <f>الجدول2[[#This Row],[سعر البيع]]-الجدول2[[#This Row],[ المستلم من العميل]]</f>
        <v>0</v>
      </c>
      <c r="N20" s="57"/>
      <c r="O20" s="95">
        <f>الجدول2[[#This Row],[سعرالشراء]]-N20</f>
        <v>0</v>
      </c>
      <c r="P20" s="96">
        <f>الجدول2[[#This Row],[سعر البيع]]-الجدول2[[#This Row],[سعرالشراء]]</f>
        <v>0</v>
      </c>
    </row>
    <row r="21" spans="1:16" ht="31.5" customHeight="1" thickTop="1" thickBot="1" x14ac:dyDescent="0.35">
      <c r="A21" s="98" t="str">
        <f>IF(B21&lt;&gt;"", ROWS($A$12:A21), "")</f>
        <v/>
      </c>
      <c r="B21" s="57"/>
      <c r="C21" s="57"/>
      <c r="D21" s="57"/>
      <c r="E21" s="59"/>
      <c r="F21" s="57"/>
      <c r="G21" s="61"/>
      <c r="H21" s="67"/>
      <c r="I21" s="57"/>
      <c r="J21" s="57"/>
      <c r="K21" s="57"/>
      <c r="L21" s="57"/>
      <c r="M21" s="95">
        <f>الجدول2[[#This Row],[سعر البيع]]-الجدول2[[#This Row],[ المستلم من العميل]]</f>
        <v>0</v>
      </c>
      <c r="N21" s="57"/>
      <c r="O21" s="95">
        <f>الجدول2[[#This Row],[سعرالشراء]]-N21</f>
        <v>0</v>
      </c>
      <c r="P21" s="96">
        <f>الجدول2[[#This Row],[سعر البيع]]-الجدول2[[#This Row],[سعرالشراء]]</f>
        <v>0</v>
      </c>
    </row>
    <row r="22" spans="1:16" ht="31.5" customHeight="1" thickTop="1" thickBot="1" x14ac:dyDescent="0.35">
      <c r="A22" s="98" t="str">
        <f>IF(B22&lt;&gt;"", ROWS($A$12:A22), "")</f>
        <v/>
      </c>
      <c r="B22" s="57"/>
      <c r="C22" s="57"/>
      <c r="D22" s="57"/>
      <c r="E22" s="59"/>
      <c r="F22" s="57"/>
      <c r="G22" s="61"/>
      <c r="H22" s="67"/>
      <c r="I22" s="57"/>
      <c r="J22" s="57"/>
      <c r="K22" s="57"/>
      <c r="L22" s="57"/>
      <c r="M22" s="95">
        <f>الجدول2[[#This Row],[سعر البيع]]-الجدول2[[#This Row],[ المستلم من العميل]]</f>
        <v>0</v>
      </c>
      <c r="N22" s="57"/>
      <c r="O22" s="95">
        <f>الجدول2[[#This Row],[سعرالشراء]]-N22</f>
        <v>0</v>
      </c>
      <c r="P22" s="96">
        <f>الجدول2[[#This Row],[سعر البيع]]-الجدول2[[#This Row],[سعرالشراء]]</f>
        <v>0</v>
      </c>
    </row>
    <row r="23" spans="1:16" ht="31.5" customHeight="1" thickTop="1" thickBot="1" x14ac:dyDescent="0.35">
      <c r="A23" s="98" t="str">
        <f>IF(B23&lt;&gt;"", ROWS($A$12:A23), "")</f>
        <v/>
      </c>
      <c r="B23" s="57"/>
      <c r="C23" s="57"/>
      <c r="D23" s="57"/>
      <c r="E23" s="59"/>
      <c r="F23" s="57"/>
      <c r="G23" s="61"/>
      <c r="H23" s="67"/>
      <c r="I23" s="57"/>
      <c r="J23" s="57"/>
      <c r="K23" s="57"/>
      <c r="L23" s="57"/>
      <c r="M23" s="95">
        <f>الجدول2[[#This Row],[سعر البيع]]-الجدول2[[#This Row],[ المستلم من العميل]]</f>
        <v>0</v>
      </c>
      <c r="N23" s="57"/>
      <c r="O23" s="95">
        <f>الجدول2[[#This Row],[سعرالشراء]]-N23</f>
        <v>0</v>
      </c>
      <c r="P23" s="96">
        <f>الجدول2[[#This Row],[سعر البيع]]-الجدول2[[#This Row],[سعرالشراء]]</f>
        <v>0</v>
      </c>
    </row>
    <row r="24" spans="1:16" ht="31.5" customHeight="1" thickTop="1" thickBot="1" x14ac:dyDescent="0.35">
      <c r="A24" s="98" t="str">
        <f>IF(B24&lt;&gt;"", ROWS($A$12:A24), "")</f>
        <v/>
      </c>
      <c r="B24" s="57"/>
      <c r="C24" s="57"/>
      <c r="D24" s="57"/>
      <c r="E24" s="59"/>
      <c r="F24" s="57"/>
      <c r="G24" s="61"/>
      <c r="H24" s="67"/>
      <c r="I24" s="57"/>
      <c r="J24" s="57"/>
      <c r="K24" s="57"/>
      <c r="L24" s="57"/>
      <c r="M24" s="95">
        <f>الجدول2[[#This Row],[سعر البيع]]-الجدول2[[#This Row],[ المستلم من العميل]]</f>
        <v>0</v>
      </c>
      <c r="N24" s="57"/>
      <c r="O24" s="95">
        <f>الجدول2[[#This Row],[سعرالشراء]]-N24</f>
        <v>0</v>
      </c>
      <c r="P24" s="96">
        <f>الجدول2[[#This Row],[سعر البيع]]-الجدول2[[#This Row],[سعرالشراء]]</f>
        <v>0</v>
      </c>
    </row>
    <row r="25" spans="1:16" ht="31.5" customHeight="1" thickTop="1" thickBot="1" x14ac:dyDescent="0.35">
      <c r="A25" s="98" t="str">
        <f>IF(B25&lt;&gt;"", ROWS($A$12:A25), "")</f>
        <v/>
      </c>
      <c r="B25" s="57"/>
      <c r="C25" s="57"/>
      <c r="D25" s="57"/>
      <c r="E25" s="59"/>
      <c r="F25" s="57"/>
      <c r="G25" s="61"/>
      <c r="H25" s="67"/>
      <c r="I25" s="57"/>
      <c r="J25" s="57"/>
      <c r="K25" s="57"/>
      <c r="L25" s="57"/>
      <c r="M25" s="95">
        <f>الجدول2[[#This Row],[سعر البيع]]-الجدول2[[#This Row],[ المستلم من العميل]]</f>
        <v>0</v>
      </c>
      <c r="N25" s="57"/>
      <c r="O25" s="95">
        <f>الجدول2[[#This Row],[سعرالشراء]]-N25</f>
        <v>0</v>
      </c>
      <c r="P25" s="96">
        <f>الجدول2[[#This Row],[سعر البيع]]-الجدول2[[#This Row],[سعرالشراء]]</f>
        <v>0</v>
      </c>
    </row>
    <row r="26" spans="1:16" ht="31.5" customHeight="1" thickTop="1" thickBot="1" x14ac:dyDescent="0.35">
      <c r="A26" s="98" t="str">
        <f>IF(B26&lt;&gt;"", ROWS($A$12:A26), "")</f>
        <v/>
      </c>
      <c r="B26" s="57"/>
      <c r="C26" s="57"/>
      <c r="D26" s="57"/>
      <c r="E26" s="59"/>
      <c r="F26" s="57"/>
      <c r="G26" s="61"/>
      <c r="H26" s="67"/>
      <c r="I26" s="57"/>
      <c r="J26" s="57"/>
      <c r="K26" s="57"/>
      <c r="L26" s="57"/>
      <c r="M26" s="95">
        <f>الجدول2[[#This Row],[سعر البيع]]-الجدول2[[#This Row],[ المستلم من العميل]]</f>
        <v>0</v>
      </c>
      <c r="N26" s="57"/>
      <c r="O26" s="95">
        <f>الجدول2[[#This Row],[سعرالشراء]]-N26</f>
        <v>0</v>
      </c>
      <c r="P26" s="96">
        <f>الجدول2[[#This Row],[سعر البيع]]-الجدول2[[#This Row],[سعرالشراء]]</f>
        <v>0</v>
      </c>
    </row>
    <row r="27" spans="1:16" ht="31.5" customHeight="1" thickTop="1" thickBot="1" x14ac:dyDescent="0.35">
      <c r="A27" s="98" t="str">
        <f>IF(B27&lt;&gt;"", ROWS($A$12:A27), "")</f>
        <v/>
      </c>
      <c r="B27" s="57"/>
      <c r="C27" s="57"/>
      <c r="D27" s="57"/>
      <c r="E27" s="59"/>
      <c r="F27" s="57"/>
      <c r="G27" s="61"/>
      <c r="H27" s="67"/>
      <c r="I27" s="57"/>
      <c r="J27" s="57"/>
      <c r="K27" s="57"/>
      <c r="L27" s="57"/>
      <c r="M27" s="95">
        <f>الجدول2[[#This Row],[سعر البيع]]-الجدول2[[#This Row],[ المستلم من العميل]]</f>
        <v>0</v>
      </c>
      <c r="N27" s="57"/>
      <c r="O27" s="95">
        <f>الجدول2[[#This Row],[سعرالشراء]]-N27</f>
        <v>0</v>
      </c>
      <c r="P27" s="96">
        <f>الجدول2[[#This Row],[سعر البيع]]-الجدول2[[#This Row],[سعرالشراء]]</f>
        <v>0</v>
      </c>
    </row>
    <row r="28" spans="1:16" ht="31.5" customHeight="1" thickTop="1" thickBot="1" x14ac:dyDescent="0.35">
      <c r="A28" s="98" t="str">
        <f>IF(B28&lt;&gt;"", ROWS($A$12:A28), "")</f>
        <v/>
      </c>
      <c r="B28" s="57"/>
      <c r="C28" s="57"/>
      <c r="D28" s="57"/>
      <c r="E28" s="59"/>
      <c r="F28" s="57"/>
      <c r="G28" s="61"/>
      <c r="H28" s="67"/>
      <c r="I28" s="57"/>
      <c r="J28" s="57"/>
      <c r="K28" s="57"/>
      <c r="L28" s="57"/>
      <c r="M28" s="95">
        <f>الجدول2[[#This Row],[سعر البيع]]-الجدول2[[#This Row],[ المستلم من العميل]]</f>
        <v>0</v>
      </c>
      <c r="N28" s="57"/>
      <c r="O28" s="95">
        <f>الجدول2[[#This Row],[سعرالشراء]]-N28</f>
        <v>0</v>
      </c>
      <c r="P28" s="96">
        <f>الجدول2[[#This Row],[سعر البيع]]-الجدول2[[#This Row],[سعرالشراء]]</f>
        <v>0</v>
      </c>
    </row>
    <row r="29" spans="1:16" ht="31.5" customHeight="1" thickTop="1" thickBot="1" x14ac:dyDescent="0.35">
      <c r="A29" s="98" t="str">
        <f>IF(B29&lt;&gt;"", ROWS($A$12:A29), "")</f>
        <v/>
      </c>
      <c r="B29" s="57"/>
      <c r="C29" s="57"/>
      <c r="D29" s="57"/>
      <c r="E29" s="59"/>
      <c r="F29" s="57"/>
      <c r="G29" s="61"/>
      <c r="H29" s="67"/>
      <c r="I29" s="57"/>
      <c r="J29" s="57"/>
      <c r="K29" s="57"/>
      <c r="L29" s="57"/>
      <c r="M29" s="95">
        <f>الجدول2[[#This Row],[سعر البيع]]-الجدول2[[#This Row],[ المستلم من العميل]]</f>
        <v>0</v>
      </c>
      <c r="N29" s="57"/>
      <c r="O29" s="95">
        <f>الجدول2[[#This Row],[سعرالشراء]]-N29</f>
        <v>0</v>
      </c>
      <c r="P29" s="96">
        <f>الجدول2[[#This Row],[سعر البيع]]-الجدول2[[#This Row],[سعرالشراء]]</f>
        <v>0</v>
      </c>
    </row>
    <row r="30" spans="1:16" ht="31.5" customHeight="1" thickTop="1" thickBot="1" x14ac:dyDescent="0.35">
      <c r="A30" s="98" t="str">
        <f>IF(B30&lt;&gt;"", ROWS($A$12:A30), "")</f>
        <v/>
      </c>
      <c r="B30" s="57"/>
      <c r="C30" s="57"/>
      <c r="D30" s="57"/>
      <c r="E30" s="59"/>
      <c r="F30" s="57"/>
      <c r="G30" s="61"/>
      <c r="H30" s="67"/>
      <c r="I30" s="57"/>
      <c r="J30" s="57"/>
      <c r="K30" s="57"/>
      <c r="L30" s="57"/>
      <c r="M30" s="95">
        <f>الجدول2[[#This Row],[سعر البيع]]-الجدول2[[#This Row],[ المستلم من العميل]]</f>
        <v>0</v>
      </c>
      <c r="N30" s="57"/>
      <c r="O30" s="95">
        <f>الجدول2[[#This Row],[سعرالشراء]]-N30</f>
        <v>0</v>
      </c>
      <c r="P30" s="96">
        <f>الجدول2[[#This Row],[سعر البيع]]-الجدول2[[#This Row],[سعرالشراء]]</f>
        <v>0</v>
      </c>
    </row>
    <row r="31" spans="1:16" ht="31.5" customHeight="1" thickTop="1" thickBot="1" x14ac:dyDescent="0.35">
      <c r="A31" s="98" t="str">
        <f>IF(B31&lt;&gt;"", ROWS($A$12:A31), "")</f>
        <v/>
      </c>
      <c r="B31" s="57"/>
      <c r="C31" s="57"/>
      <c r="D31" s="57"/>
      <c r="E31" s="59"/>
      <c r="F31" s="57"/>
      <c r="G31" s="61"/>
      <c r="H31" s="67"/>
      <c r="I31" s="57"/>
      <c r="J31" s="57"/>
      <c r="K31" s="57"/>
      <c r="L31" s="57"/>
      <c r="M31" s="95">
        <f>الجدول2[[#This Row],[سعر البيع]]-الجدول2[[#This Row],[ المستلم من العميل]]</f>
        <v>0</v>
      </c>
      <c r="N31" s="57"/>
      <c r="O31" s="95">
        <f>الجدول2[[#This Row],[سعرالشراء]]-N31</f>
        <v>0</v>
      </c>
      <c r="P31" s="96">
        <f>الجدول2[[#This Row],[سعر البيع]]-الجدول2[[#This Row],[سعرالشراء]]</f>
        <v>0</v>
      </c>
    </row>
    <row r="32" spans="1:16" ht="31.5" customHeight="1" thickTop="1" thickBot="1" x14ac:dyDescent="0.35">
      <c r="A32" s="98" t="str">
        <f>IF(B32&lt;&gt;"", ROWS($A$12:A32), "")</f>
        <v/>
      </c>
      <c r="B32" s="57"/>
      <c r="C32" s="57"/>
      <c r="D32" s="57"/>
      <c r="E32" s="59"/>
      <c r="F32" s="57"/>
      <c r="G32" s="61"/>
      <c r="H32" s="67"/>
      <c r="I32" s="57"/>
      <c r="J32" s="57"/>
      <c r="K32" s="57"/>
      <c r="L32" s="57"/>
      <c r="M32" s="95">
        <f>الجدول2[[#This Row],[سعر البيع]]-الجدول2[[#This Row],[ المستلم من العميل]]</f>
        <v>0</v>
      </c>
      <c r="N32" s="57"/>
      <c r="O32" s="95">
        <f>الجدول2[[#This Row],[سعرالشراء]]-N32</f>
        <v>0</v>
      </c>
      <c r="P32" s="96">
        <f>الجدول2[[#This Row],[سعر البيع]]-الجدول2[[#This Row],[سعرالشراء]]</f>
        <v>0</v>
      </c>
    </row>
    <row r="33" spans="1:16" ht="31.5" customHeight="1" thickTop="1" thickBot="1" x14ac:dyDescent="0.35">
      <c r="A33" s="98" t="str">
        <f>IF(B33&lt;&gt;"", ROWS($A$12:A33), "")</f>
        <v/>
      </c>
      <c r="B33" s="57"/>
      <c r="C33" s="57"/>
      <c r="D33" s="57"/>
      <c r="E33" s="59"/>
      <c r="F33" s="57"/>
      <c r="G33" s="61"/>
      <c r="H33" s="67"/>
      <c r="I33" s="57"/>
      <c r="J33" s="57"/>
      <c r="K33" s="57"/>
      <c r="L33" s="57"/>
      <c r="M33" s="95">
        <f>الجدول2[[#This Row],[سعر البيع]]-الجدول2[[#This Row],[ المستلم من العميل]]</f>
        <v>0</v>
      </c>
      <c r="N33" s="57"/>
      <c r="O33" s="95">
        <f>الجدول2[[#This Row],[سعرالشراء]]-N33</f>
        <v>0</v>
      </c>
      <c r="P33" s="96">
        <f>الجدول2[[#This Row],[سعر البيع]]-الجدول2[[#This Row],[سعرالشراء]]</f>
        <v>0</v>
      </c>
    </row>
    <row r="34" spans="1:16" ht="31.5" customHeight="1" thickTop="1" thickBot="1" x14ac:dyDescent="0.35">
      <c r="A34" s="98" t="str">
        <f>IF(B34&lt;&gt;"", ROWS($A$12:A34), "")</f>
        <v/>
      </c>
      <c r="B34" s="57"/>
      <c r="C34" s="57"/>
      <c r="D34" s="57"/>
      <c r="E34" s="59"/>
      <c r="F34" s="57"/>
      <c r="G34" s="61"/>
      <c r="H34" s="67"/>
      <c r="I34" s="57"/>
      <c r="J34" s="57"/>
      <c r="K34" s="57"/>
      <c r="L34" s="57"/>
      <c r="M34" s="95">
        <f>الجدول2[[#This Row],[سعر البيع]]-الجدول2[[#This Row],[ المستلم من العميل]]</f>
        <v>0</v>
      </c>
      <c r="N34" s="57"/>
      <c r="O34" s="95">
        <f>الجدول2[[#This Row],[سعرالشراء]]-N34</f>
        <v>0</v>
      </c>
      <c r="P34" s="96">
        <f>الجدول2[[#This Row],[سعر البيع]]-الجدول2[[#This Row],[سعرالشراء]]</f>
        <v>0</v>
      </c>
    </row>
    <row r="35" spans="1:16" ht="31.5" customHeight="1" thickTop="1" thickBot="1" x14ac:dyDescent="0.35">
      <c r="A35" s="98" t="str">
        <f>IF(B35&lt;&gt;"", ROWS($A$12:A35), "")</f>
        <v/>
      </c>
      <c r="B35" s="57"/>
      <c r="C35" s="57"/>
      <c r="D35" s="57"/>
      <c r="E35" s="59"/>
      <c r="F35" s="57"/>
      <c r="G35" s="61"/>
      <c r="H35" s="67"/>
      <c r="I35" s="57"/>
      <c r="J35" s="57"/>
      <c r="K35" s="57"/>
      <c r="L35" s="57"/>
      <c r="M35" s="95">
        <f>الجدول2[[#This Row],[سعر البيع]]-الجدول2[[#This Row],[ المستلم من العميل]]</f>
        <v>0</v>
      </c>
      <c r="N35" s="57"/>
      <c r="O35" s="95">
        <f>الجدول2[[#This Row],[سعرالشراء]]-N35</f>
        <v>0</v>
      </c>
      <c r="P35" s="96">
        <f>الجدول2[[#This Row],[سعر البيع]]-الجدول2[[#This Row],[سعرالشراء]]</f>
        <v>0</v>
      </c>
    </row>
    <row r="36" spans="1:16" ht="31.5" customHeight="1" thickTop="1" thickBot="1" x14ac:dyDescent="0.35">
      <c r="A36" s="98" t="str">
        <f>IF(B36&lt;&gt;"", ROWS($A$12:A36), "")</f>
        <v/>
      </c>
      <c r="B36" s="57"/>
      <c r="C36" s="57"/>
      <c r="D36" s="57"/>
      <c r="E36" s="59"/>
      <c r="F36" s="57"/>
      <c r="G36" s="61"/>
      <c r="H36" s="67"/>
      <c r="I36" s="57"/>
      <c r="J36" s="57"/>
      <c r="K36" s="57"/>
      <c r="L36" s="57"/>
      <c r="M36" s="95">
        <f>الجدول2[[#This Row],[سعر البيع]]-الجدول2[[#This Row],[ المستلم من العميل]]</f>
        <v>0</v>
      </c>
      <c r="N36" s="57"/>
      <c r="O36" s="95">
        <f>الجدول2[[#This Row],[سعرالشراء]]-N36</f>
        <v>0</v>
      </c>
      <c r="P36" s="96">
        <f>الجدول2[[#This Row],[سعر البيع]]-الجدول2[[#This Row],[سعرالشراء]]</f>
        <v>0</v>
      </c>
    </row>
    <row r="37" spans="1:16" ht="31.5" customHeight="1" thickTop="1" thickBot="1" x14ac:dyDescent="0.35">
      <c r="A37" s="98" t="str">
        <f>IF(B37&lt;&gt;"", ROWS($A$12:A37), "")</f>
        <v/>
      </c>
      <c r="B37" s="57"/>
      <c r="C37" s="57"/>
      <c r="D37" s="57"/>
      <c r="E37" s="59"/>
      <c r="F37" s="57"/>
      <c r="G37" s="61"/>
      <c r="H37" s="67"/>
      <c r="I37" s="57"/>
      <c r="J37" s="57"/>
      <c r="K37" s="57"/>
      <c r="L37" s="57"/>
      <c r="M37" s="95">
        <f>الجدول2[[#This Row],[سعر البيع]]-الجدول2[[#This Row],[ المستلم من العميل]]</f>
        <v>0</v>
      </c>
      <c r="N37" s="57"/>
      <c r="O37" s="95">
        <f>الجدول2[[#This Row],[سعرالشراء]]-N37</f>
        <v>0</v>
      </c>
      <c r="P37" s="96">
        <f>الجدول2[[#This Row],[سعر البيع]]-الجدول2[[#This Row],[سعرالشراء]]</f>
        <v>0</v>
      </c>
    </row>
    <row r="38" spans="1:16" ht="31.5" customHeight="1" thickTop="1" thickBot="1" x14ac:dyDescent="0.35">
      <c r="A38" s="98" t="str">
        <f>IF(B38&lt;&gt;"", ROWS($A$12:A38), "")</f>
        <v/>
      </c>
      <c r="B38" s="57"/>
      <c r="C38" s="57"/>
      <c r="D38" s="57"/>
      <c r="E38" s="59"/>
      <c r="F38" s="57"/>
      <c r="G38" s="61"/>
      <c r="H38" s="67"/>
      <c r="I38" s="57"/>
      <c r="J38" s="57"/>
      <c r="K38" s="57"/>
      <c r="L38" s="57"/>
      <c r="M38" s="95">
        <f>الجدول2[[#This Row],[سعر البيع]]-الجدول2[[#This Row],[ المستلم من العميل]]</f>
        <v>0</v>
      </c>
      <c r="N38" s="57"/>
      <c r="O38" s="95">
        <f>الجدول2[[#This Row],[سعرالشراء]]-N38</f>
        <v>0</v>
      </c>
      <c r="P38" s="96">
        <f>الجدول2[[#This Row],[سعر البيع]]-الجدول2[[#This Row],[سعرالشراء]]</f>
        <v>0</v>
      </c>
    </row>
    <row r="39" spans="1:16" ht="31.5" customHeight="1" thickTop="1" thickBot="1" x14ac:dyDescent="0.35">
      <c r="A39" s="98" t="str">
        <f>IF(B39&lt;&gt;"", ROWS($A$12:A39), "")</f>
        <v/>
      </c>
      <c r="B39" s="57"/>
      <c r="C39" s="57"/>
      <c r="D39" s="57"/>
      <c r="E39" s="59"/>
      <c r="F39" s="57"/>
      <c r="G39" s="61"/>
      <c r="H39" s="67"/>
      <c r="I39" s="57"/>
      <c r="J39" s="57"/>
      <c r="K39" s="57"/>
      <c r="L39" s="57"/>
      <c r="M39" s="95">
        <f>الجدول2[[#This Row],[سعر البيع]]-الجدول2[[#This Row],[ المستلم من العميل]]</f>
        <v>0</v>
      </c>
      <c r="N39" s="57"/>
      <c r="O39" s="95">
        <f>الجدول2[[#This Row],[سعرالشراء]]-N39</f>
        <v>0</v>
      </c>
      <c r="P39" s="96">
        <f>الجدول2[[#This Row],[سعر البيع]]-الجدول2[[#This Row],[سعرالشراء]]</f>
        <v>0</v>
      </c>
    </row>
    <row r="40" spans="1:16" ht="31.5" customHeight="1" thickTop="1" thickBot="1" x14ac:dyDescent="0.35">
      <c r="A40" s="98" t="str">
        <f>IF(B40&lt;&gt;"", ROWS($A$12:A40), "")</f>
        <v/>
      </c>
      <c r="B40" s="57"/>
      <c r="C40" s="57"/>
      <c r="D40" s="57"/>
      <c r="E40" s="59"/>
      <c r="F40" s="57"/>
      <c r="G40" s="61"/>
      <c r="H40" s="67"/>
      <c r="I40" s="57"/>
      <c r="J40" s="57"/>
      <c r="K40" s="57"/>
      <c r="L40" s="57"/>
      <c r="M40" s="95">
        <f>الجدول2[[#This Row],[سعر البيع]]-الجدول2[[#This Row],[ المستلم من العميل]]</f>
        <v>0</v>
      </c>
      <c r="N40" s="57"/>
      <c r="O40" s="95">
        <f>الجدول2[[#This Row],[سعرالشراء]]-N40</f>
        <v>0</v>
      </c>
      <c r="P40" s="96">
        <f>الجدول2[[#This Row],[سعر البيع]]-الجدول2[[#This Row],[سعرالشراء]]</f>
        <v>0</v>
      </c>
    </row>
    <row r="41" spans="1:16" ht="31.5" customHeight="1" thickTop="1" thickBot="1" x14ac:dyDescent="0.35">
      <c r="A41" s="98" t="str">
        <f>IF(B41&lt;&gt;"", ROWS($A$12:A41), "")</f>
        <v/>
      </c>
      <c r="B41" s="57"/>
      <c r="C41" s="57"/>
      <c r="D41" s="57"/>
      <c r="E41" s="59"/>
      <c r="F41" s="57"/>
      <c r="G41" s="61"/>
      <c r="H41" s="67"/>
      <c r="I41" s="57"/>
      <c r="J41" s="57"/>
      <c r="K41" s="57"/>
      <c r="L41" s="57"/>
      <c r="M41" s="95">
        <f>الجدول2[[#This Row],[سعر البيع]]-الجدول2[[#This Row],[ المستلم من العميل]]</f>
        <v>0</v>
      </c>
      <c r="N41" s="57"/>
      <c r="O41" s="95">
        <f>الجدول2[[#This Row],[سعرالشراء]]-N41</f>
        <v>0</v>
      </c>
      <c r="P41" s="96">
        <f>الجدول2[[#This Row],[سعر البيع]]-الجدول2[[#This Row],[سعرالشراء]]</f>
        <v>0</v>
      </c>
    </row>
    <row r="42" spans="1:16" ht="31.5" customHeight="1" thickTop="1" thickBot="1" x14ac:dyDescent="0.35">
      <c r="A42" s="98" t="str">
        <f>IF(B42&lt;&gt;"", ROWS($A$12:A42), "")</f>
        <v/>
      </c>
      <c r="B42" s="57"/>
      <c r="C42" s="57"/>
      <c r="D42" s="57"/>
      <c r="E42" s="59"/>
      <c r="F42" s="57"/>
      <c r="G42" s="61"/>
      <c r="H42" s="67"/>
      <c r="I42" s="57"/>
      <c r="J42" s="57"/>
      <c r="K42" s="57"/>
      <c r="L42" s="57"/>
      <c r="M42" s="95">
        <f>الجدول2[[#This Row],[سعر البيع]]-الجدول2[[#This Row],[ المستلم من العميل]]</f>
        <v>0</v>
      </c>
      <c r="N42" s="57"/>
      <c r="O42" s="95">
        <f>الجدول2[[#This Row],[سعرالشراء]]-N42</f>
        <v>0</v>
      </c>
      <c r="P42" s="96">
        <f>الجدول2[[#This Row],[سعر البيع]]-الجدول2[[#This Row],[سعرالشراء]]</f>
        <v>0</v>
      </c>
    </row>
    <row r="43" spans="1:16" ht="31.5" customHeight="1" thickTop="1" thickBot="1" x14ac:dyDescent="0.35">
      <c r="A43" s="98" t="str">
        <f>IF(B43&lt;&gt;"", ROWS($A$12:A43), "")</f>
        <v/>
      </c>
      <c r="B43" s="57"/>
      <c r="C43" s="57"/>
      <c r="D43" s="57"/>
      <c r="E43" s="59"/>
      <c r="F43" s="57"/>
      <c r="G43" s="61"/>
      <c r="H43" s="67"/>
      <c r="I43" s="57"/>
      <c r="J43" s="57"/>
      <c r="K43" s="57"/>
      <c r="L43" s="57"/>
      <c r="M43" s="95">
        <f>الجدول2[[#This Row],[سعر البيع]]-الجدول2[[#This Row],[ المستلم من العميل]]</f>
        <v>0</v>
      </c>
      <c r="N43" s="57"/>
      <c r="O43" s="95">
        <f>الجدول2[[#This Row],[سعرالشراء]]-N43</f>
        <v>0</v>
      </c>
      <c r="P43" s="96">
        <f>الجدول2[[#This Row],[سعر البيع]]-الجدول2[[#This Row],[سعرالشراء]]</f>
        <v>0</v>
      </c>
    </row>
    <row r="44" spans="1:16" ht="31.5" customHeight="1" thickTop="1" thickBot="1" x14ac:dyDescent="0.35">
      <c r="A44" s="98" t="str">
        <f>IF(B44&lt;&gt;"", ROWS($A$12:A44), "")</f>
        <v/>
      </c>
      <c r="B44" s="57"/>
      <c r="C44" s="57"/>
      <c r="D44" s="57"/>
      <c r="E44" s="59"/>
      <c r="F44" s="57"/>
      <c r="G44" s="61"/>
      <c r="H44" s="67"/>
      <c r="I44" s="57"/>
      <c r="J44" s="57"/>
      <c r="K44" s="57"/>
      <c r="L44" s="57"/>
      <c r="M44" s="95">
        <f>الجدول2[[#This Row],[سعر البيع]]-الجدول2[[#This Row],[ المستلم من العميل]]</f>
        <v>0</v>
      </c>
      <c r="N44" s="57"/>
      <c r="O44" s="95">
        <f>الجدول2[[#This Row],[سعرالشراء]]-N44</f>
        <v>0</v>
      </c>
      <c r="P44" s="96">
        <f>الجدول2[[#This Row],[سعر البيع]]-الجدول2[[#This Row],[سعرالشراء]]</f>
        <v>0</v>
      </c>
    </row>
    <row r="45" spans="1:16" ht="31.5" customHeight="1" thickTop="1" thickBot="1" x14ac:dyDescent="0.35">
      <c r="A45" s="98" t="str">
        <f>IF(B45&lt;&gt;"", ROWS($A$12:A45), "")</f>
        <v/>
      </c>
      <c r="B45" s="57"/>
      <c r="C45" s="57"/>
      <c r="D45" s="57"/>
      <c r="E45" s="59"/>
      <c r="F45" s="57"/>
      <c r="G45" s="61"/>
      <c r="H45" s="67"/>
      <c r="I45" s="57"/>
      <c r="J45" s="57"/>
      <c r="K45" s="57"/>
      <c r="L45" s="57"/>
      <c r="M45" s="95">
        <f>الجدول2[[#This Row],[سعر البيع]]-الجدول2[[#This Row],[ المستلم من العميل]]</f>
        <v>0</v>
      </c>
      <c r="N45" s="57"/>
      <c r="O45" s="95">
        <f>الجدول2[[#This Row],[سعرالشراء]]-N45</f>
        <v>0</v>
      </c>
      <c r="P45" s="96">
        <f>الجدول2[[#This Row],[سعر البيع]]-الجدول2[[#This Row],[سعرالشراء]]</f>
        <v>0</v>
      </c>
    </row>
    <row r="46" spans="1:16" ht="31.5" customHeight="1" thickTop="1" thickBot="1" x14ac:dyDescent="0.35">
      <c r="A46" s="98" t="str">
        <f>IF(B46&lt;&gt;"", ROWS($A$12:A46), "")</f>
        <v/>
      </c>
      <c r="B46" s="57"/>
      <c r="C46" s="57"/>
      <c r="D46" s="57"/>
      <c r="E46" s="59"/>
      <c r="F46" s="57"/>
      <c r="G46" s="61"/>
      <c r="H46" s="67"/>
      <c r="I46" s="57"/>
      <c r="J46" s="57"/>
      <c r="K46" s="57"/>
      <c r="L46" s="57"/>
      <c r="M46" s="95">
        <f>الجدول2[[#This Row],[سعر البيع]]-الجدول2[[#This Row],[ المستلم من العميل]]</f>
        <v>0</v>
      </c>
      <c r="N46" s="57"/>
      <c r="O46" s="95">
        <f>الجدول2[[#This Row],[سعرالشراء]]-N46</f>
        <v>0</v>
      </c>
      <c r="P46" s="96">
        <f>الجدول2[[#This Row],[سعر البيع]]-الجدول2[[#This Row],[سعرالشراء]]</f>
        <v>0</v>
      </c>
    </row>
    <row r="47" spans="1:16" ht="31.5" customHeight="1" thickTop="1" thickBot="1" x14ac:dyDescent="0.35">
      <c r="A47" s="98" t="str">
        <f>IF(B47&lt;&gt;"", ROWS($A$12:A47), "")</f>
        <v/>
      </c>
      <c r="B47" s="57"/>
      <c r="C47" s="57"/>
      <c r="D47" s="57"/>
      <c r="E47" s="59"/>
      <c r="F47" s="57"/>
      <c r="G47" s="61"/>
      <c r="H47" s="67"/>
      <c r="I47" s="57"/>
      <c r="J47" s="57"/>
      <c r="K47" s="57"/>
      <c r="L47" s="57"/>
      <c r="M47" s="95">
        <f>الجدول2[[#This Row],[سعر البيع]]-الجدول2[[#This Row],[ المستلم من العميل]]</f>
        <v>0</v>
      </c>
      <c r="N47" s="57"/>
      <c r="O47" s="95">
        <f>الجدول2[[#This Row],[سعرالشراء]]-N47</f>
        <v>0</v>
      </c>
      <c r="P47" s="96">
        <f>الجدول2[[#This Row],[سعر البيع]]-الجدول2[[#This Row],[سعرالشراء]]</f>
        <v>0</v>
      </c>
    </row>
    <row r="48" spans="1:16" ht="31.5" customHeight="1" thickTop="1" thickBot="1" x14ac:dyDescent="0.35">
      <c r="A48" s="98" t="str">
        <f>IF(B48&lt;&gt;"", ROWS($A$12:A48), "")</f>
        <v/>
      </c>
      <c r="B48" s="57"/>
      <c r="C48" s="57"/>
      <c r="D48" s="57"/>
      <c r="E48" s="59"/>
      <c r="F48" s="57"/>
      <c r="G48" s="61"/>
      <c r="H48" s="67"/>
      <c r="I48" s="57"/>
      <c r="J48" s="57"/>
      <c r="K48" s="57"/>
      <c r="L48" s="57"/>
      <c r="M48" s="95">
        <f>الجدول2[[#This Row],[سعر البيع]]-الجدول2[[#This Row],[ المستلم من العميل]]</f>
        <v>0</v>
      </c>
      <c r="N48" s="57"/>
      <c r="O48" s="95">
        <f>الجدول2[[#This Row],[سعرالشراء]]-N48</f>
        <v>0</v>
      </c>
      <c r="P48" s="96">
        <f>الجدول2[[#This Row],[سعر البيع]]-الجدول2[[#This Row],[سعرالشراء]]</f>
        <v>0</v>
      </c>
    </row>
    <row r="49" spans="1:16" ht="31.5" customHeight="1" thickTop="1" thickBot="1" x14ac:dyDescent="0.35">
      <c r="A49" s="98" t="str">
        <f>IF(B49&lt;&gt;"", ROWS($A$12:A49), "")</f>
        <v/>
      </c>
      <c r="B49" s="57"/>
      <c r="C49" s="57"/>
      <c r="D49" s="57"/>
      <c r="E49" s="59"/>
      <c r="F49" s="57"/>
      <c r="G49" s="61"/>
      <c r="H49" s="67"/>
      <c r="I49" s="57"/>
      <c r="J49" s="57"/>
      <c r="K49" s="57"/>
      <c r="L49" s="57"/>
      <c r="M49" s="95">
        <f>الجدول2[[#This Row],[سعر البيع]]-الجدول2[[#This Row],[ المستلم من العميل]]</f>
        <v>0</v>
      </c>
      <c r="N49" s="57"/>
      <c r="O49" s="95">
        <f>الجدول2[[#This Row],[سعرالشراء]]-N49</f>
        <v>0</v>
      </c>
      <c r="P49" s="96">
        <f>الجدول2[[#This Row],[سعر البيع]]-الجدول2[[#This Row],[سعرالشراء]]</f>
        <v>0</v>
      </c>
    </row>
    <row r="50" spans="1:16" ht="31.5" customHeight="1" thickTop="1" thickBot="1" x14ac:dyDescent="0.35">
      <c r="A50" s="98" t="str">
        <f>IF(B50&lt;&gt;"", ROWS($A$12:A50), "")</f>
        <v/>
      </c>
      <c r="B50" s="57"/>
      <c r="C50" s="57"/>
      <c r="D50" s="57"/>
      <c r="E50" s="59"/>
      <c r="F50" s="57"/>
      <c r="G50" s="61"/>
      <c r="H50" s="67"/>
      <c r="I50" s="57"/>
      <c r="J50" s="57"/>
      <c r="K50" s="57"/>
      <c r="L50" s="57"/>
      <c r="M50" s="95">
        <f>الجدول2[[#This Row],[سعر البيع]]-الجدول2[[#This Row],[ المستلم من العميل]]</f>
        <v>0</v>
      </c>
      <c r="N50" s="57"/>
      <c r="O50" s="95">
        <f>الجدول2[[#This Row],[سعرالشراء]]-N50</f>
        <v>0</v>
      </c>
      <c r="P50" s="96">
        <f>الجدول2[[#This Row],[سعر البيع]]-الجدول2[[#This Row],[سعرالشراء]]</f>
        <v>0</v>
      </c>
    </row>
    <row r="51" spans="1:16" ht="31.5" customHeight="1" thickTop="1" thickBot="1" x14ac:dyDescent="0.35">
      <c r="A51" s="98" t="str">
        <f>IF(B51&lt;&gt;"", ROWS($A$12:A51), "")</f>
        <v/>
      </c>
      <c r="B51" s="57"/>
      <c r="C51" s="57"/>
      <c r="D51" s="57"/>
      <c r="E51" s="59"/>
      <c r="F51" s="57"/>
      <c r="G51" s="61"/>
      <c r="H51" s="67"/>
      <c r="I51" s="57"/>
      <c r="J51" s="57"/>
      <c r="K51" s="57"/>
      <c r="L51" s="57"/>
      <c r="M51" s="95">
        <f>الجدول2[[#This Row],[سعر البيع]]-الجدول2[[#This Row],[ المستلم من العميل]]</f>
        <v>0</v>
      </c>
      <c r="N51" s="57"/>
      <c r="O51" s="95">
        <f>الجدول2[[#This Row],[سعرالشراء]]-N51</f>
        <v>0</v>
      </c>
      <c r="P51" s="96">
        <f>الجدول2[[#This Row],[سعر البيع]]-الجدول2[[#This Row],[سعرالشراء]]</f>
        <v>0</v>
      </c>
    </row>
    <row r="52" spans="1:16" ht="31.5" customHeight="1" thickTop="1" thickBot="1" x14ac:dyDescent="0.35">
      <c r="A52" s="98" t="str">
        <f>IF(B52&lt;&gt;"", ROWS($A$12:A52), "")</f>
        <v/>
      </c>
      <c r="B52" s="57"/>
      <c r="C52" s="57"/>
      <c r="D52" s="57"/>
      <c r="E52" s="59"/>
      <c r="F52" s="57"/>
      <c r="G52" s="61"/>
      <c r="H52" s="67"/>
      <c r="I52" s="57"/>
      <c r="J52" s="57"/>
      <c r="K52" s="57"/>
      <c r="L52" s="57"/>
      <c r="M52" s="95">
        <f>الجدول2[[#This Row],[سعر البيع]]-الجدول2[[#This Row],[ المستلم من العميل]]</f>
        <v>0</v>
      </c>
      <c r="N52" s="57"/>
      <c r="O52" s="95">
        <f>الجدول2[[#This Row],[سعرالشراء]]-N52</f>
        <v>0</v>
      </c>
      <c r="P52" s="96">
        <f>الجدول2[[#This Row],[سعر البيع]]-الجدول2[[#This Row],[سعرالشراء]]</f>
        <v>0</v>
      </c>
    </row>
    <row r="53" spans="1:16" ht="31.5" customHeight="1" thickTop="1" thickBot="1" x14ac:dyDescent="0.35">
      <c r="A53" s="98" t="str">
        <f>IF(B53&lt;&gt;"", ROWS($A$12:A53), "")</f>
        <v/>
      </c>
      <c r="B53" s="57"/>
      <c r="C53" s="57"/>
      <c r="D53" s="57"/>
      <c r="E53" s="59"/>
      <c r="F53" s="57"/>
      <c r="G53" s="61"/>
      <c r="H53" s="67"/>
      <c r="I53" s="57"/>
      <c r="J53" s="57"/>
      <c r="K53" s="57"/>
      <c r="L53" s="57"/>
      <c r="M53" s="95">
        <f>الجدول2[[#This Row],[سعر البيع]]-الجدول2[[#This Row],[ المستلم من العميل]]</f>
        <v>0</v>
      </c>
      <c r="N53" s="57"/>
      <c r="O53" s="95">
        <f>الجدول2[[#This Row],[سعرالشراء]]-N53</f>
        <v>0</v>
      </c>
      <c r="P53" s="96">
        <f>الجدول2[[#This Row],[سعر البيع]]-الجدول2[[#This Row],[سعرالشراء]]</f>
        <v>0</v>
      </c>
    </row>
    <row r="54" spans="1:16" ht="31.5" customHeight="1" thickTop="1" thickBot="1" x14ac:dyDescent="0.35">
      <c r="A54" s="98" t="str">
        <f>IF(B54&lt;&gt;"", ROWS($A$12:A54), "")</f>
        <v/>
      </c>
      <c r="B54" s="57"/>
      <c r="C54" s="57"/>
      <c r="D54" s="57"/>
      <c r="E54" s="59"/>
      <c r="F54" s="57"/>
      <c r="G54" s="61"/>
      <c r="H54" s="67"/>
      <c r="I54" s="57"/>
      <c r="J54" s="57"/>
      <c r="K54" s="57"/>
      <c r="L54" s="57"/>
      <c r="M54" s="95">
        <f>الجدول2[[#This Row],[سعر البيع]]-الجدول2[[#This Row],[ المستلم من العميل]]</f>
        <v>0</v>
      </c>
      <c r="N54" s="57"/>
      <c r="O54" s="95">
        <f>الجدول2[[#This Row],[سعرالشراء]]-N54</f>
        <v>0</v>
      </c>
      <c r="P54" s="96">
        <f>الجدول2[[#This Row],[سعر البيع]]-الجدول2[[#This Row],[سعرالشراء]]</f>
        <v>0</v>
      </c>
    </row>
    <row r="55" spans="1:16" ht="31.5" customHeight="1" thickTop="1" thickBot="1" x14ac:dyDescent="0.35">
      <c r="A55" s="98" t="str">
        <f>IF(B55&lt;&gt;"", ROWS($A$12:A55), "")</f>
        <v/>
      </c>
      <c r="B55" s="57"/>
      <c r="C55" s="57"/>
      <c r="D55" s="57"/>
      <c r="E55" s="59"/>
      <c r="F55" s="57"/>
      <c r="G55" s="61"/>
      <c r="H55" s="67"/>
      <c r="I55" s="57"/>
      <c r="J55" s="57"/>
      <c r="K55" s="57"/>
      <c r="L55" s="57"/>
      <c r="M55" s="95">
        <f>الجدول2[[#This Row],[سعر البيع]]-الجدول2[[#This Row],[ المستلم من العميل]]</f>
        <v>0</v>
      </c>
      <c r="N55" s="57"/>
      <c r="O55" s="95">
        <f>الجدول2[[#This Row],[سعرالشراء]]-N55</f>
        <v>0</v>
      </c>
      <c r="P55" s="96">
        <f>الجدول2[[#This Row],[سعر البيع]]-الجدول2[[#This Row],[سعرالشراء]]</f>
        <v>0</v>
      </c>
    </row>
    <row r="56" spans="1:16" ht="31.5" customHeight="1" thickTop="1" thickBot="1" x14ac:dyDescent="0.35">
      <c r="A56" s="98" t="str">
        <f>IF(B56&lt;&gt;"", ROWS($A$12:A56), "")</f>
        <v/>
      </c>
      <c r="B56" s="57"/>
      <c r="C56" s="57"/>
      <c r="D56" s="57"/>
      <c r="E56" s="59"/>
      <c r="F56" s="57"/>
      <c r="G56" s="61"/>
      <c r="H56" s="67"/>
      <c r="I56" s="57"/>
      <c r="J56" s="57"/>
      <c r="K56" s="57"/>
      <c r="L56" s="57"/>
      <c r="M56" s="95">
        <f>الجدول2[[#This Row],[سعر البيع]]-الجدول2[[#This Row],[ المستلم من العميل]]</f>
        <v>0</v>
      </c>
      <c r="N56" s="57"/>
      <c r="O56" s="95">
        <f>الجدول2[[#This Row],[سعرالشراء]]-N56</f>
        <v>0</v>
      </c>
      <c r="P56" s="96">
        <f>الجدول2[[#This Row],[سعر البيع]]-الجدول2[[#This Row],[سعرالشراء]]</f>
        <v>0</v>
      </c>
    </row>
    <row r="57" spans="1:16" ht="31.5" customHeight="1" thickTop="1" thickBot="1" x14ac:dyDescent="0.35">
      <c r="A57" s="98" t="str">
        <f>IF(B57&lt;&gt;"", ROWS($A$12:A57), "")</f>
        <v/>
      </c>
      <c r="B57" s="57"/>
      <c r="C57" s="57"/>
      <c r="D57" s="57"/>
      <c r="E57" s="59"/>
      <c r="F57" s="57"/>
      <c r="G57" s="61"/>
      <c r="H57" s="67"/>
      <c r="I57" s="57"/>
      <c r="J57" s="57"/>
      <c r="K57" s="57"/>
      <c r="L57" s="57"/>
      <c r="M57" s="95">
        <f>الجدول2[[#This Row],[سعر البيع]]-الجدول2[[#This Row],[ المستلم من العميل]]</f>
        <v>0</v>
      </c>
      <c r="N57" s="57"/>
      <c r="O57" s="95">
        <f>الجدول2[[#This Row],[سعرالشراء]]-N57</f>
        <v>0</v>
      </c>
      <c r="P57" s="96">
        <f>الجدول2[[#This Row],[سعر البيع]]-الجدول2[[#This Row],[سعرالشراء]]</f>
        <v>0</v>
      </c>
    </row>
    <row r="58" spans="1:16" ht="31.5" customHeight="1" thickTop="1" thickBot="1" x14ac:dyDescent="0.35">
      <c r="A58" s="98" t="str">
        <f>IF(B58&lt;&gt;"", ROWS($A$12:A58), "")</f>
        <v/>
      </c>
      <c r="B58" s="57"/>
      <c r="C58" s="57"/>
      <c r="D58" s="57"/>
      <c r="E58" s="59"/>
      <c r="F58" s="57"/>
      <c r="G58" s="61"/>
      <c r="H58" s="67"/>
      <c r="I58" s="57"/>
      <c r="J58" s="57"/>
      <c r="K58" s="57"/>
      <c r="L58" s="57"/>
      <c r="M58" s="95">
        <f>الجدول2[[#This Row],[سعر البيع]]-الجدول2[[#This Row],[ المستلم من العميل]]</f>
        <v>0</v>
      </c>
      <c r="N58" s="57"/>
      <c r="O58" s="95">
        <f>الجدول2[[#This Row],[سعرالشراء]]-N58</f>
        <v>0</v>
      </c>
      <c r="P58" s="96">
        <f>الجدول2[[#This Row],[سعر البيع]]-الجدول2[[#This Row],[سعرالشراء]]</f>
        <v>0</v>
      </c>
    </row>
    <row r="59" spans="1:16" ht="31.5" customHeight="1" thickTop="1" thickBot="1" x14ac:dyDescent="0.35">
      <c r="A59" s="98" t="str">
        <f>IF(B59&lt;&gt;"", ROWS($A$12:A59), "")</f>
        <v/>
      </c>
      <c r="B59" s="57"/>
      <c r="C59" s="57"/>
      <c r="D59" s="57"/>
      <c r="E59" s="59"/>
      <c r="F59" s="57"/>
      <c r="G59" s="61"/>
      <c r="H59" s="67"/>
      <c r="I59" s="57"/>
      <c r="J59" s="57"/>
      <c r="K59" s="57"/>
      <c r="L59" s="57"/>
      <c r="M59" s="95">
        <f>الجدول2[[#This Row],[سعر البيع]]-الجدول2[[#This Row],[ المستلم من العميل]]</f>
        <v>0</v>
      </c>
      <c r="N59" s="57"/>
      <c r="O59" s="95">
        <f>الجدول2[[#This Row],[سعرالشراء]]-N59</f>
        <v>0</v>
      </c>
      <c r="P59" s="96">
        <f>الجدول2[[#This Row],[سعر البيع]]-الجدول2[[#This Row],[سعرالشراء]]</f>
        <v>0</v>
      </c>
    </row>
    <row r="60" spans="1:16" ht="31.5" customHeight="1" thickTop="1" thickBot="1" x14ac:dyDescent="0.35">
      <c r="A60" s="98" t="str">
        <f>IF(B60&lt;&gt;"", ROWS($A$12:A60), "")</f>
        <v/>
      </c>
      <c r="B60" s="57"/>
      <c r="C60" s="57"/>
      <c r="D60" s="57"/>
      <c r="E60" s="59"/>
      <c r="F60" s="57"/>
      <c r="G60" s="61"/>
      <c r="H60" s="67"/>
      <c r="I60" s="57"/>
      <c r="J60" s="57"/>
      <c r="K60" s="57"/>
      <c r="L60" s="57"/>
      <c r="M60" s="95">
        <f>الجدول2[[#This Row],[سعر البيع]]-الجدول2[[#This Row],[ المستلم من العميل]]</f>
        <v>0</v>
      </c>
      <c r="N60" s="57"/>
      <c r="O60" s="95">
        <f>الجدول2[[#This Row],[سعرالشراء]]-N60</f>
        <v>0</v>
      </c>
      <c r="P60" s="96">
        <f>الجدول2[[#This Row],[سعر البيع]]-الجدول2[[#This Row],[سعرالشراء]]</f>
        <v>0</v>
      </c>
    </row>
    <row r="61" spans="1:16" ht="31.5" customHeight="1" thickTop="1" thickBot="1" x14ac:dyDescent="0.35">
      <c r="A61" s="98" t="str">
        <f>IF(B61&lt;&gt;"", ROWS($A$12:A61), "")</f>
        <v/>
      </c>
      <c r="B61" s="57"/>
      <c r="C61" s="57"/>
      <c r="D61" s="57"/>
      <c r="E61" s="59"/>
      <c r="F61" s="57"/>
      <c r="G61" s="61"/>
      <c r="H61" s="67"/>
      <c r="I61" s="57"/>
      <c r="J61" s="57"/>
      <c r="K61" s="57"/>
      <c r="L61" s="57"/>
      <c r="M61" s="95">
        <f>الجدول2[[#This Row],[سعر البيع]]-الجدول2[[#This Row],[ المستلم من العميل]]</f>
        <v>0</v>
      </c>
      <c r="N61" s="57"/>
      <c r="O61" s="95">
        <f>الجدول2[[#This Row],[سعرالشراء]]-N61</f>
        <v>0</v>
      </c>
      <c r="P61" s="96">
        <f>الجدول2[[#This Row],[سعر البيع]]-الجدول2[[#This Row],[سعرالشراء]]</f>
        <v>0</v>
      </c>
    </row>
    <row r="62" spans="1:16" ht="31.5" customHeight="1" thickTop="1" thickBot="1" x14ac:dyDescent="0.35">
      <c r="A62" s="98" t="str">
        <f>IF(B62&lt;&gt;"", ROWS($A$12:A62), "")</f>
        <v/>
      </c>
      <c r="B62" s="57"/>
      <c r="C62" s="57"/>
      <c r="D62" s="57"/>
      <c r="E62" s="59"/>
      <c r="F62" s="57"/>
      <c r="G62" s="61"/>
      <c r="H62" s="67"/>
      <c r="I62" s="57"/>
      <c r="J62" s="57"/>
      <c r="K62" s="57"/>
      <c r="L62" s="57"/>
      <c r="M62" s="95">
        <f>الجدول2[[#This Row],[سعر البيع]]-الجدول2[[#This Row],[ المستلم من العميل]]</f>
        <v>0</v>
      </c>
      <c r="N62" s="57"/>
      <c r="O62" s="95">
        <f>الجدول2[[#This Row],[سعرالشراء]]-N62</f>
        <v>0</v>
      </c>
      <c r="P62" s="96">
        <f>الجدول2[[#This Row],[سعر البيع]]-الجدول2[[#This Row],[سعرالشراء]]</f>
        <v>0</v>
      </c>
    </row>
    <row r="63" spans="1:16" ht="31.5" customHeight="1" thickTop="1" thickBot="1" x14ac:dyDescent="0.35">
      <c r="A63" s="98" t="str">
        <f>IF(B63&lt;&gt;"", ROWS($A$12:A63), "")</f>
        <v/>
      </c>
      <c r="B63" s="57"/>
      <c r="C63" s="57"/>
      <c r="D63" s="57"/>
      <c r="E63" s="59"/>
      <c r="F63" s="57"/>
      <c r="G63" s="61"/>
      <c r="H63" s="67"/>
      <c r="I63" s="57"/>
      <c r="J63" s="57"/>
      <c r="K63" s="57"/>
      <c r="L63" s="57"/>
      <c r="M63" s="95">
        <f>الجدول2[[#This Row],[سعر البيع]]-الجدول2[[#This Row],[ المستلم من العميل]]</f>
        <v>0</v>
      </c>
      <c r="N63" s="57"/>
      <c r="O63" s="95">
        <f>الجدول2[[#This Row],[سعرالشراء]]-N63</f>
        <v>0</v>
      </c>
      <c r="P63" s="96">
        <f>الجدول2[[#This Row],[سعر البيع]]-الجدول2[[#This Row],[سعرالشراء]]</f>
        <v>0</v>
      </c>
    </row>
    <row r="64" spans="1:16" ht="31.5" customHeight="1" thickTop="1" thickBot="1" x14ac:dyDescent="0.35">
      <c r="A64" s="98" t="str">
        <f>IF(B64&lt;&gt;"", ROWS($A$12:A64), "")</f>
        <v/>
      </c>
      <c r="B64" s="57"/>
      <c r="C64" s="57"/>
      <c r="D64" s="57"/>
      <c r="E64" s="59"/>
      <c r="F64" s="57"/>
      <c r="G64" s="61"/>
      <c r="H64" s="67"/>
      <c r="I64" s="57"/>
      <c r="J64" s="57"/>
      <c r="K64" s="57"/>
      <c r="L64" s="57"/>
      <c r="M64" s="95">
        <f>الجدول2[[#This Row],[سعر البيع]]-الجدول2[[#This Row],[ المستلم من العميل]]</f>
        <v>0</v>
      </c>
      <c r="N64" s="57"/>
      <c r="O64" s="95">
        <f>الجدول2[[#This Row],[سعرالشراء]]-N64</f>
        <v>0</v>
      </c>
      <c r="P64" s="96">
        <f>الجدول2[[#This Row],[سعر البيع]]-الجدول2[[#This Row],[سعرالشراء]]</f>
        <v>0</v>
      </c>
    </row>
    <row r="65" spans="1:16" ht="31.5" customHeight="1" thickTop="1" thickBot="1" x14ac:dyDescent="0.35">
      <c r="A65" s="98" t="str">
        <f>IF(B65&lt;&gt;"", ROWS($A$12:A65), "")</f>
        <v/>
      </c>
      <c r="B65" s="57"/>
      <c r="C65" s="57"/>
      <c r="D65" s="57"/>
      <c r="E65" s="59"/>
      <c r="F65" s="57"/>
      <c r="G65" s="61"/>
      <c r="H65" s="67"/>
      <c r="I65" s="57"/>
      <c r="J65" s="57"/>
      <c r="K65" s="57"/>
      <c r="L65" s="57"/>
      <c r="M65" s="95">
        <f>الجدول2[[#This Row],[سعر البيع]]-الجدول2[[#This Row],[ المستلم من العميل]]</f>
        <v>0</v>
      </c>
      <c r="N65" s="57"/>
      <c r="O65" s="95">
        <f>الجدول2[[#This Row],[سعرالشراء]]-N65</f>
        <v>0</v>
      </c>
      <c r="P65" s="96">
        <f>الجدول2[[#This Row],[سعر البيع]]-الجدول2[[#This Row],[سعرالشراء]]</f>
        <v>0</v>
      </c>
    </row>
    <row r="66" spans="1:16" ht="31.5" customHeight="1" thickTop="1" thickBot="1" x14ac:dyDescent="0.35">
      <c r="A66" s="98" t="str">
        <f>IF(B66&lt;&gt;"", ROWS($A$12:A66), "")</f>
        <v/>
      </c>
      <c r="B66" s="57"/>
      <c r="C66" s="57"/>
      <c r="D66" s="57"/>
      <c r="E66" s="59"/>
      <c r="F66" s="57"/>
      <c r="G66" s="61"/>
      <c r="H66" s="67"/>
      <c r="I66" s="57"/>
      <c r="J66" s="57"/>
      <c r="K66" s="57"/>
      <c r="L66" s="57"/>
      <c r="M66" s="95">
        <f>الجدول2[[#This Row],[سعر البيع]]-الجدول2[[#This Row],[ المستلم من العميل]]</f>
        <v>0</v>
      </c>
      <c r="N66" s="57"/>
      <c r="O66" s="95">
        <f>الجدول2[[#This Row],[سعرالشراء]]-N66</f>
        <v>0</v>
      </c>
      <c r="P66" s="96">
        <f>الجدول2[[#This Row],[سعر البيع]]-الجدول2[[#This Row],[سعرالشراء]]</f>
        <v>0</v>
      </c>
    </row>
    <row r="67" spans="1:16" ht="31.5" customHeight="1" thickTop="1" thickBot="1" x14ac:dyDescent="0.35">
      <c r="A67" s="98" t="str">
        <f>IF(B67&lt;&gt;"", ROWS($A$12:A67), "")</f>
        <v/>
      </c>
      <c r="B67" s="57"/>
      <c r="C67" s="57"/>
      <c r="D67" s="57"/>
      <c r="E67" s="59"/>
      <c r="F67" s="57"/>
      <c r="G67" s="61"/>
      <c r="H67" s="67"/>
      <c r="I67" s="57"/>
      <c r="J67" s="57"/>
      <c r="K67" s="57"/>
      <c r="L67" s="57"/>
      <c r="M67" s="95">
        <f>الجدول2[[#This Row],[سعر البيع]]-الجدول2[[#This Row],[ المستلم من العميل]]</f>
        <v>0</v>
      </c>
      <c r="N67" s="57"/>
      <c r="O67" s="95">
        <f>الجدول2[[#This Row],[سعرالشراء]]-N67</f>
        <v>0</v>
      </c>
      <c r="P67" s="96">
        <f>الجدول2[[#This Row],[سعر البيع]]-الجدول2[[#This Row],[سعرالشراء]]</f>
        <v>0</v>
      </c>
    </row>
    <row r="68" spans="1:16" ht="31.5" customHeight="1" thickTop="1" thickBot="1" x14ac:dyDescent="0.35">
      <c r="A68" s="98" t="str">
        <f>IF(B68&lt;&gt;"", ROWS($A$12:A68), "")</f>
        <v/>
      </c>
      <c r="B68" s="57"/>
      <c r="C68" s="57"/>
      <c r="D68" s="57"/>
      <c r="E68" s="59"/>
      <c r="F68" s="57"/>
      <c r="G68" s="61"/>
      <c r="H68" s="67"/>
      <c r="I68" s="57"/>
      <c r="J68" s="57"/>
      <c r="K68" s="57"/>
      <c r="L68" s="57"/>
      <c r="M68" s="95">
        <f>الجدول2[[#This Row],[سعر البيع]]-الجدول2[[#This Row],[ المستلم من العميل]]</f>
        <v>0</v>
      </c>
      <c r="N68" s="57"/>
      <c r="O68" s="95">
        <f>الجدول2[[#This Row],[سعرالشراء]]-N68</f>
        <v>0</v>
      </c>
      <c r="P68" s="96">
        <f>الجدول2[[#This Row],[سعر البيع]]-الجدول2[[#This Row],[سعرالشراء]]</f>
        <v>0</v>
      </c>
    </row>
    <row r="69" spans="1:16" ht="31.5" customHeight="1" thickTop="1" thickBot="1" x14ac:dyDescent="0.35">
      <c r="A69" s="98" t="str">
        <f>IF(B69&lt;&gt;"", ROWS($A$12:A69), "")</f>
        <v/>
      </c>
      <c r="B69" s="57"/>
      <c r="C69" s="57"/>
      <c r="D69" s="57"/>
      <c r="E69" s="59"/>
      <c r="F69" s="57"/>
      <c r="G69" s="61"/>
      <c r="H69" s="67"/>
      <c r="I69" s="57"/>
      <c r="J69" s="57"/>
      <c r="K69" s="57"/>
      <c r="L69" s="57"/>
      <c r="M69" s="95">
        <f>الجدول2[[#This Row],[سعر البيع]]-الجدول2[[#This Row],[ المستلم من العميل]]</f>
        <v>0</v>
      </c>
      <c r="N69" s="57"/>
      <c r="O69" s="95">
        <f>الجدول2[[#This Row],[سعرالشراء]]-N69</f>
        <v>0</v>
      </c>
      <c r="P69" s="96">
        <f>الجدول2[[#This Row],[سعر البيع]]-الجدول2[[#This Row],[سعرالشراء]]</f>
        <v>0</v>
      </c>
    </row>
    <row r="70" spans="1:16" ht="31.5" customHeight="1" thickTop="1" thickBot="1" x14ac:dyDescent="0.35">
      <c r="A70" s="98" t="str">
        <f>IF(B70&lt;&gt;"", ROWS($A$12:A70), "")</f>
        <v/>
      </c>
      <c r="B70" s="57"/>
      <c r="C70" s="57"/>
      <c r="D70" s="57"/>
      <c r="E70" s="59"/>
      <c r="F70" s="57"/>
      <c r="G70" s="61"/>
      <c r="H70" s="67"/>
      <c r="I70" s="57"/>
      <c r="J70" s="57"/>
      <c r="K70" s="57"/>
      <c r="L70" s="57"/>
      <c r="M70" s="95">
        <f>الجدول2[[#This Row],[سعر البيع]]-الجدول2[[#This Row],[ المستلم من العميل]]</f>
        <v>0</v>
      </c>
      <c r="N70" s="57"/>
      <c r="O70" s="95">
        <f>الجدول2[[#This Row],[سعرالشراء]]-N70</f>
        <v>0</v>
      </c>
      <c r="P70" s="96">
        <f>الجدول2[[#This Row],[سعر البيع]]-الجدول2[[#This Row],[سعرالشراء]]</f>
        <v>0</v>
      </c>
    </row>
    <row r="71" spans="1:16" ht="31.5" customHeight="1" thickTop="1" thickBot="1" x14ac:dyDescent="0.35">
      <c r="A71" s="98" t="str">
        <f>IF(B71&lt;&gt;"", ROWS($A$12:A71), "")</f>
        <v/>
      </c>
      <c r="B71" s="57"/>
      <c r="C71" s="57"/>
      <c r="D71" s="57"/>
      <c r="E71" s="59"/>
      <c r="F71" s="57"/>
      <c r="G71" s="61"/>
      <c r="H71" s="67"/>
      <c r="I71" s="57"/>
      <c r="J71" s="57"/>
      <c r="K71" s="57"/>
      <c r="L71" s="57"/>
      <c r="M71" s="95">
        <f>الجدول2[[#This Row],[سعر البيع]]-الجدول2[[#This Row],[ المستلم من العميل]]</f>
        <v>0</v>
      </c>
      <c r="N71" s="57"/>
      <c r="O71" s="95">
        <f>الجدول2[[#This Row],[سعرالشراء]]-N71</f>
        <v>0</v>
      </c>
      <c r="P71" s="96">
        <f>الجدول2[[#This Row],[سعر البيع]]-الجدول2[[#This Row],[سعرالشراء]]</f>
        <v>0</v>
      </c>
    </row>
    <row r="72" spans="1:16" ht="31.5" customHeight="1" thickTop="1" thickBot="1" x14ac:dyDescent="0.35">
      <c r="A72" s="98" t="str">
        <f>IF(B72&lt;&gt;"", ROWS($A$12:A72), "")</f>
        <v/>
      </c>
      <c r="B72" s="57"/>
      <c r="C72" s="57"/>
      <c r="D72" s="57"/>
      <c r="E72" s="59"/>
      <c r="F72" s="57"/>
      <c r="G72" s="61"/>
      <c r="H72" s="67"/>
      <c r="I72" s="57"/>
      <c r="J72" s="57"/>
      <c r="K72" s="57"/>
      <c r="L72" s="57"/>
      <c r="M72" s="95">
        <f>الجدول2[[#This Row],[سعر البيع]]-الجدول2[[#This Row],[ المستلم من العميل]]</f>
        <v>0</v>
      </c>
      <c r="N72" s="57"/>
      <c r="O72" s="95">
        <f>الجدول2[[#This Row],[سعرالشراء]]-N72</f>
        <v>0</v>
      </c>
      <c r="P72" s="96">
        <f>الجدول2[[#This Row],[سعر البيع]]-الجدول2[[#This Row],[سعرالشراء]]</f>
        <v>0</v>
      </c>
    </row>
    <row r="73" spans="1:16" ht="31.5" customHeight="1" thickTop="1" thickBot="1" x14ac:dyDescent="0.35">
      <c r="A73" s="98" t="str">
        <f>IF(B73&lt;&gt;"", ROWS($A$12:A73), "")</f>
        <v/>
      </c>
      <c r="B73" s="57"/>
      <c r="C73" s="57"/>
      <c r="D73" s="57"/>
      <c r="E73" s="59"/>
      <c r="F73" s="57"/>
      <c r="G73" s="61"/>
      <c r="H73" s="67"/>
      <c r="I73" s="57"/>
      <c r="J73" s="57"/>
      <c r="K73" s="57"/>
      <c r="L73" s="57"/>
      <c r="M73" s="95">
        <f>الجدول2[[#This Row],[سعر البيع]]-الجدول2[[#This Row],[ المستلم من العميل]]</f>
        <v>0</v>
      </c>
      <c r="N73" s="57"/>
      <c r="O73" s="95">
        <f>الجدول2[[#This Row],[سعرالشراء]]-N73</f>
        <v>0</v>
      </c>
      <c r="P73" s="96">
        <f>الجدول2[[#This Row],[سعر البيع]]-الجدول2[[#This Row],[سعرالشراء]]</f>
        <v>0</v>
      </c>
    </row>
    <row r="74" spans="1:16" ht="31.5" customHeight="1" thickTop="1" thickBot="1" x14ac:dyDescent="0.35">
      <c r="A74" s="98" t="str">
        <f>IF(B74&lt;&gt;"", ROWS($A$12:A74), "")</f>
        <v/>
      </c>
      <c r="B74" s="57"/>
      <c r="C74" s="57"/>
      <c r="D74" s="57"/>
      <c r="E74" s="59"/>
      <c r="F74" s="57"/>
      <c r="G74" s="61"/>
      <c r="H74" s="67"/>
      <c r="I74" s="57"/>
      <c r="J74" s="57"/>
      <c r="K74" s="57"/>
      <c r="L74" s="57"/>
      <c r="M74" s="95">
        <f>الجدول2[[#This Row],[سعر البيع]]-الجدول2[[#This Row],[ المستلم من العميل]]</f>
        <v>0</v>
      </c>
      <c r="N74" s="57"/>
      <c r="O74" s="95">
        <f>الجدول2[[#This Row],[سعرالشراء]]-N74</f>
        <v>0</v>
      </c>
      <c r="P74" s="96">
        <f>الجدول2[[#This Row],[سعر البيع]]-الجدول2[[#This Row],[سعرالشراء]]</f>
        <v>0</v>
      </c>
    </row>
    <row r="75" spans="1:16" ht="31.5" customHeight="1" thickTop="1" thickBot="1" x14ac:dyDescent="0.35">
      <c r="A75" s="98" t="str">
        <f>IF(B75&lt;&gt;"", ROWS($A$12:A75), "")</f>
        <v/>
      </c>
      <c r="B75" s="57"/>
      <c r="C75" s="57"/>
      <c r="D75" s="57"/>
      <c r="E75" s="59"/>
      <c r="F75" s="57"/>
      <c r="G75" s="61"/>
      <c r="H75" s="67"/>
      <c r="I75" s="57"/>
      <c r="J75" s="57"/>
      <c r="K75" s="57"/>
      <c r="L75" s="57"/>
      <c r="M75" s="95">
        <f>الجدول2[[#This Row],[سعر البيع]]-الجدول2[[#This Row],[ المستلم من العميل]]</f>
        <v>0</v>
      </c>
      <c r="N75" s="57"/>
      <c r="O75" s="95">
        <f>الجدول2[[#This Row],[سعرالشراء]]-N75</f>
        <v>0</v>
      </c>
      <c r="P75" s="96">
        <f>الجدول2[[#This Row],[سعر البيع]]-الجدول2[[#This Row],[سعرالشراء]]</f>
        <v>0</v>
      </c>
    </row>
    <row r="76" spans="1:16" ht="31.5" customHeight="1" thickTop="1" thickBot="1" x14ac:dyDescent="0.35">
      <c r="A76" s="98" t="str">
        <f>IF(B76&lt;&gt;"", ROWS($A$12:A76), "")</f>
        <v/>
      </c>
      <c r="B76" s="57"/>
      <c r="C76" s="57"/>
      <c r="D76" s="57"/>
      <c r="E76" s="59"/>
      <c r="F76" s="57"/>
      <c r="G76" s="61"/>
      <c r="H76" s="67"/>
      <c r="I76" s="57"/>
      <c r="J76" s="57"/>
      <c r="K76" s="57"/>
      <c r="L76" s="57"/>
      <c r="M76" s="95">
        <f>الجدول2[[#This Row],[سعر البيع]]-الجدول2[[#This Row],[ المستلم من العميل]]</f>
        <v>0</v>
      </c>
      <c r="N76" s="57"/>
      <c r="O76" s="95">
        <f>الجدول2[[#This Row],[سعرالشراء]]-N76</f>
        <v>0</v>
      </c>
      <c r="P76" s="96">
        <f>الجدول2[[#This Row],[سعر البيع]]-الجدول2[[#This Row],[سعرالشراء]]</f>
        <v>0</v>
      </c>
    </row>
    <row r="77" spans="1:16" ht="31.5" customHeight="1" thickTop="1" thickBot="1" x14ac:dyDescent="0.35">
      <c r="A77" s="98" t="str">
        <f>IF(B77&lt;&gt;"", ROWS($A$12:A77), "")</f>
        <v/>
      </c>
      <c r="B77" s="57"/>
      <c r="C77" s="57"/>
      <c r="D77" s="57"/>
      <c r="E77" s="59"/>
      <c r="F77" s="57"/>
      <c r="G77" s="61"/>
      <c r="H77" s="67"/>
      <c r="I77" s="57"/>
      <c r="J77" s="57"/>
      <c r="K77" s="57"/>
      <c r="L77" s="57"/>
      <c r="M77" s="95">
        <f>الجدول2[[#This Row],[سعر البيع]]-الجدول2[[#This Row],[ المستلم من العميل]]</f>
        <v>0</v>
      </c>
      <c r="N77" s="57"/>
      <c r="O77" s="95">
        <f>الجدول2[[#This Row],[سعرالشراء]]-N77</f>
        <v>0</v>
      </c>
      <c r="P77" s="96">
        <f>الجدول2[[#This Row],[سعر البيع]]-الجدول2[[#This Row],[سعرالشراء]]</f>
        <v>0</v>
      </c>
    </row>
    <row r="78" spans="1:16" ht="31.5" customHeight="1" thickTop="1" thickBot="1" x14ac:dyDescent="0.35">
      <c r="A78" s="98" t="str">
        <f>IF(B78&lt;&gt;"", ROWS($A$12:A78), "")</f>
        <v/>
      </c>
      <c r="B78" s="57"/>
      <c r="C78" s="57"/>
      <c r="D78" s="57"/>
      <c r="E78" s="59"/>
      <c r="F78" s="57"/>
      <c r="G78" s="61"/>
      <c r="H78" s="67"/>
      <c r="I78" s="57"/>
      <c r="J78" s="57"/>
      <c r="K78" s="57"/>
      <c r="L78" s="57"/>
      <c r="M78" s="95">
        <f>الجدول2[[#This Row],[سعر البيع]]-الجدول2[[#This Row],[ المستلم من العميل]]</f>
        <v>0</v>
      </c>
      <c r="N78" s="57"/>
      <c r="O78" s="95">
        <f>الجدول2[[#This Row],[سعرالشراء]]-N78</f>
        <v>0</v>
      </c>
      <c r="P78" s="96">
        <f>الجدول2[[#This Row],[سعر البيع]]-الجدول2[[#This Row],[سعرالشراء]]</f>
        <v>0</v>
      </c>
    </row>
    <row r="79" spans="1:16" ht="31.5" customHeight="1" thickTop="1" thickBot="1" x14ac:dyDescent="0.35">
      <c r="A79" s="98" t="str">
        <f>IF(B79&lt;&gt;"", ROWS($A$12:A79), "")</f>
        <v/>
      </c>
      <c r="B79" s="57"/>
      <c r="C79" s="57"/>
      <c r="D79" s="57"/>
      <c r="E79" s="59"/>
      <c r="F79" s="57"/>
      <c r="G79" s="61"/>
      <c r="H79" s="67"/>
      <c r="I79" s="57"/>
      <c r="J79" s="57"/>
      <c r="K79" s="57"/>
      <c r="L79" s="57"/>
      <c r="M79" s="95">
        <f>الجدول2[[#This Row],[سعر البيع]]-الجدول2[[#This Row],[ المستلم من العميل]]</f>
        <v>0</v>
      </c>
      <c r="N79" s="57"/>
      <c r="O79" s="95">
        <f>الجدول2[[#This Row],[سعرالشراء]]-N79</f>
        <v>0</v>
      </c>
      <c r="P79" s="96">
        <f>الجدول2[[#This Row],[سعر البيع]]-الجدول2[[#This Row],[سعرالشراء]]</f>
        <v>0</v>
      </c>
    </row>
    <row r="80" spans="1:16" ht="31.5" customHeight="1" thickTop="1" thickBot="1" x14ac:dyDescent="0.35">
      <c r="A80" s="98" t="str">
        <f>IF(B80&lt;&gt;"", ROWS($A$12:A80), "")</f>
        <v/>
      </c>
      <c r="B80" s="57"/>
      <c r="C80" s="57"/>
      <c r="D80" s="57"/>
      <c r="E80" s="59"/>
      <c r="F80" s="57"/>
      <c r="G80" s="61"/>
      <c r="H80" s="67"/>
      <c r="I80" s="57"/>
      <c r="J80" s="57"/>
      <c r="K80" s="57"/>
      <c r="L80" s="57"/>
      <c r="M80" s="95">
        <f>الجدول2[[#This Row],[سعر البيع]]-الجدول2[[#This Row],[ المستلم من العميل]]</f>
        <v>0</v>
      </c>
      <c r="N80" s="57"/>
      <c r="O80" s="95">
        <f>الجدول2[[#This Row],[سعرالشراء]]-N80</f>
        <v>0</v>
      </c>
      <c r="P80" s="96">
        <f>الجدول2[[#This Row],[سعر البيع]]-الجدول2[[#This Row],[سعرالشراء]]</f>
        <v>0</v>
      </c>
    </row>
    <row r="81" spans="1:16" ht="31.5" customHeight="1" thickTop="1" thickBot="1" x14ac:dyDescent="0.35">
      <c r="A81" s="98" t="str">
        <f>IF(B81&lt;&gt;"", ROWS($A$12:A81), "")</f>
        <v/>
      </c>
      <c r="B81" s="57"/>
      <c r="C81" s="57"/>
      <c r="D81" s="57"/>
      <c r="E81" s="59"/>
      <c r="F81" s="57"/>
      <c r="G81" s="61"/>
      <c r="H81" s="67"/>
      <c r="I81" s="57"/>
      <c r="J81" s="57"/>
      <c r="K81" s="57"/>
      <c r="L81" s="57"/>
      <c r="M81" s="95">
        <f>الجدول2[[#This Row],[سعر البيع]]-الجدول2[[#This Row],[ المستلم من العميل]]</f>
        <v>0</v>
      </c>
      <c r="N81" s="57"/>
      <c r="O81" s="95">
        <f>الجدول2[[#This Row],[سعرالشراء]]-N81</f>
        <v>0</v>
      </c>
      <c r="P81" s="96">
        <f>الجدول2[[#This Row],[سعر البيع]]-الجدول2[[#This Row],[سعرالشراء]]</f>
        <v>0</v>
      </c>
    </row>
    <row r="82" spans="1:16" ht="31.5" customHeight="1" thickTop="1" thickBot="1" x14ac:dyDescent="0.35">
      <c r="A82" s="98" t="str">
        <f>IF(B82&lt;&gt;"", ROWS($A$12:A82), "")</f>
        <v/>
      </c>
      <c r="B82" s="57"/>
      <c r="C82" s="57"/>
      <c r="D82" s="57"/>
      <c r="E82" s="59"/>
      <c r="F82" s="57"/>
      <c r="G82" s="61"/>
      <c r="H82" s="67"/>
      <c r="I82" s="57"/>
      <c r="J82" s="57"/>
      <c r="K82" s="57"/>
      <c r="L82" s="57"/>
      <c r="M82" s="95">
        <f>الجدول2[[#This Row],[سعر البيع]]-الجدول2[[#This Row],[ المستلم من العميل]]</f>
        <v>0</v>
      </c>
      <c r="N82" s="57"/>
      <c r="O82" s="95">
        <f>الجدول2[[#This Row],[سعرالشراء]]-N82</f>
        <v>0</v>
      </c>
      <c r="P82" s="96">
        <f>الجدول2[[#This Row],[سعر البيع]]-الجدول2[[#This Row],[سعرالشراء]]</f>
        <v>0</v>
      </c>
    </row>
    <row r="83" spans="1:16" ht="31.5" customHeight="1" thickTop="1" thickBot="1" x14ac:dyDescent="0.35">
      <c r="A83" s="98" t="str">
        <f>IF(B83&lt;&gt;"", ROWS($A$12:A83), "")</f>
        <v/>
      </c>
      <c r="B83" s="57"/>
      <c r="C83" s="57"/>
      <c r="D83" s="57"/>
      <c r="E83" s="59"/>
      <c r="F83" s="57"/>
      <c r="G83" s="61"/>
      <c r="H83" s="67"/>
      <c r="I83" s="57"/>
      <c r="J83" s="57"/>
      <c r="K83" s="57"/>
      <c r="L83" s="57"/>
      <c r="M83" s="95">
        <f>الجدول2[[#This Row],[سعر البيع]]-الجدول2[[#This Row],[ المستلم من العميل]]</f>
        <v>0</v>
      </c>
      <c r="N83" s="57"/>
      <c r="O83" s="95">
        <f>الجدول2[[#This Row],[سعرالشراء]]-N83</f>
        <v>0</v>
      </c>
      <c r="P83" s="96">
        <f>الجدول2[[#This Row],[سعر البيع]]-الجدول2[[#This Row],[سعرالشراء]]</f>
        <v>0</v>
      </c>
    </row>
    <row r="84" spans="1:16" ht="31.5" customHeight="1" thickTop="1" thickBot="1" x14ac:dyDescent="0.35">
      <c r="A84" s="98" t="str">
        <f>IF(B84&lt;&gt;"", ROWS($A$12:A84), "")</f>
        <v/>
      </c>
      <c r="B84" s="57"/>
      <c r="C84" s="57"/>
      <c r="D84" s="57"/>
      <c r="E84" s="59"/>
      <c r="F84" s="57"/>
      <c r="G84" s="61"/>
      <c r="H84" s="67"/>
      <c r="I84" s="57"/>
      <c r="J84" s="57"/>
      <c r="K84" s="57"/>
      <c r="L84" s="57"/>
      <c r="M84" s="95">
        <f>الجدول2[[#This Row],[سعر البيع]]-الجدول2[[#This Row],[ المستلم من العميل]]</f>
        <v>0</v>
      </c>
      <c r="N84" s="57"/>
      <c r="O84" s="95">
        <f>الجدول2[[#This Row],[سعرالشراء]]-N84</f>
        <v>0</v>
      </c>
      <c r="P84" s="96">
        <f>الجدول2[[#This Row],[سعر البيع]]-الجدول2[[#This Row],[سعرالشراء]]</f>
        <v>0</v>
      </c>
    </row>
    <row r="85" spans="1:16" ht="31.5" customHeight="1" thickTop="1" thickBot="1" x14ac:dyDescent="0.35">
      <c r="A85" s="98" t="str">
        <f>IF(B85&lt;&gt;"", ROWS($A$12:A85), "")</f>
        <v/>
      </c>
      <c r="B85" s="57"/>
      <c r="C85" s="57"/>
      <c r="D85" s="57"/>
      <c r="E85" s="59"/>
      <c r="F85" s="57"/>
      <c r="G85" s="61"/>
      <c r="H85" s="67"/>
      <c r="I85" s="57"/>
      <c r="J85" s="57"/>
      <c r="K85" s="57"/>
      <c r="L85" s="57"/>
      <c r="M85" s="95">
        <f>الجدول2[[#This Row],[سعر البيع]]-الجدول2[[#This Row],[ المستلم من العميل]]</f>
        <v>0</v>
      </c>
      <c r="N85" s="57"/>
      <c r="O85" s="95">
        <f>الجدول2[[#This Row],[سعرالشراء]]-N85</f>
        <v>0</v>
      </c>
      <c r="P85" s="96">
        <f>الجدول2[[#This Row],[سعر البيع]]-الجدول2[[#This Row],[سعرالشراء]]</f>
        <v>0</v>
      </c>
    </row>
    <row r="86" spans="1:16" ht="31.5" customHeight="1" thickTop="1" thickBot="1" x14ac:dyDescent="0.35">
      <c r="A86" s="98" t="str">
        <f>IF(B86&lt;&gt;"", ROWS($A$12:A86), "")</f>
        <v/>
      </c>
      <c r="B86" s="57"/>
      <c r="C86" s="57"/>
      <c r="D86" s="57"/>
      <c r="E86" s="59"/>
      <c r="F86" s="57"/>
      <c r="G86" s="61"/>
      <c r="H86" s="67"/>
      <c r="I86" s="57"/>
      <c r="J86" s="57"/>
      <c r="K86" s="57"/>
      <c r="L86" s="57"/>
      <c r="M86" s="95">
        <f>الجدول2[[#This Row],[سعر البيع]]-الجدول2[[#This Row],[ المستلم من العميل]]</f>
        <v>0</v>
      </c>
      <c r="N86" s="57"/>
      <c r="O86" s="95">
        <f>الجدول2[[#This Row],[سعرالشراء]]-N86</f>
        <v>0</v>
      </c>
      <c r="P86" s="96">
        <f>الجدول2[[#This Row],[سعر البيع]]-الجدول2[[#This Row],[سعرالشراء]]</f>
        <v>0</v>
      </c>
    </row>
    <row r="87" spans="1:16" ht="31.5" customHeight="1" thickTop="1" thickBot="1" x14ac:dyDescent="0.35">
      <c r="A87" s="98" t="str">
        <f>IF(B87&lt;&gt;"", ROWS($A$12:A87), "")</f>
        <v/>
      </c>
      <c r="B87" s="57"/>
      <c r="C87" s="57"/>
      <c r="D87" s="57"/>
      <c r="E87" s="59"/>
      <c r="F87" s="57"/>
      <c r="G87" s="61"/>
      <c r="H87" s="67"/>
      <c r="I87" s="57"/>
      <c r="J87" s="57"/>
      <c r="K87" s="57"/>
      <c r="L87" s="57"/>
      <c r="M87" s="95">
        <f>الجدول2[[#This Row],[سعر البيع]]-الجدول2[[#This Row],[ المستلم من العميل]]</f>
        <v>0</v>
      </c>
      <c r="N87" s="57"/>
      <c r="O87" s="95">
        <f>الجدول2[[#This Row],[سعرالشراء]]-N87</f>
        <v>0</v>
      </c>
      <c r="P87" s="96">
        <f>الجدول2[[#This Row],[سعر البيع]]-الجدول2[[#This Row],[سعرالشراء]]</f>
        <v>0</v>
      </c>
    </row>
    <row r="88" spans="1:16" ht="31.5" customHeight="1" thickTop="1" thickBot="1" x14ac:dyDescent="0.35">
      <c r="A88" s="98" t="str">
        <f>IF(B88&lt;&gt;"", ROWS($A$12:A88), "")</f>
        <v/>
      </c>
      <c r="B88" s="57"/>
      <c r="C88" s="57"/>
      <c r="D88" s="57"/>
      <c r="E88" s="59"/>
      <c r="F88" s="57"/>
      <c r="G88" s="61"/>
      <c r="H88" s="67"/>
      <c r="I88" s="57"/>
      <c r="J88" s="57"/>
      <c r="K88" s="57"/>
      <c r="L88" s="57"/>
      <c r="M88" s="95">
        <f>الجدول2[[#This Row],[سعر البيع]]-الجدول2[[#This Row],[ المستلم من العميل]]</f>
        <v>0</v>
      </c>
      <c r="N88" s="57"/>
      <c r="O88" s="95">
        <f>الجدول2[[#This Row],[سعرالشراء]]-N88</f>
        <v>0</v>
      </c>
      <c r="P88" s="96">
        <f>الجدول2[[#This Row],[سعر البيع]]-الجدول2[[#This Row],[سعرالشراء]]</f>
        <v>0</v>
      </c>
    </row>
    <row r="89" spans="1:16" ht="31.5" customHeight="1" thickTop="1" thickBot="1" x14ac:dyDescent="0.35">
      <c r="A89" s="98" t="str">
        <f>IF(B89&lt;&gt;"", ROWS($A$12:A89), "")</f>
        <v/>
      </c>
      <c r="B89" s="57"/>
      <c r="C89" s="57"/>
      <c r="D89" s="57"/>
      <c r="E89" s="59"/>
      <c r="F89" s="57"/>
      <c r="G89" s="61"/>
      <c r="H89" s="67"/>
      <c r="I89" s="57"/>
      <c r="J89" s="57"/>
      <c r="K89" s="57"/>
      <c r="L89" s="57"/>
      <c r="M89" s="95">
        <f>الجدول2[[#This Row],[سعر البيع]]-الجدول2[[#This Row],[ المستلم من العميل]]</f>
        <v>0</v>
      </c>
      <c r="N89" s="57"/>
      <c r="O89" s="95">
        <f>الجدول2[[#This Row],[سعرالشراء]]-N89</f>
        <v>0</v>
      </c>
      <c r="P89" s="96">
        <f>الجدول2[[#This Row],[سعر البيع]]-الجدول2[[#This Row],[سعرالشراء]]</f>
        <v>0</v>
      </c>
    </row>
    <row r="90" spans="1:16" ht="31.5" customHeight="1" thickTop="1" thickBot="1" x14ac:dyDescent="0.35">
      <c r="A90" s="98" t="str">
        <f>IF(B90&lt;&gt;"", ROWS($A$12:A90), "")</f>
        <v/>
      </c>
      <c r="B90" s="57"/>
      <c r="C90" s="57"/>
      <c r="D90" s="57"/>
      <c r="E90" s="59"/>
      <c r="F90" s="57"/>
      <c r="G90" s="61"/>
      <c r="H90" s="67"/>
      <c r="I90" s="57"/>
      <c r="J90" s="57"/>
      <c r="K90" s="57"/>
      <c r="L90" s="57"/>
      <c r="M90" s="95">
        <f>الجدول2[[#This Row],[سعر البيع]]-الجدول2[[#This Row],[ المستلم من العميل]]</f>
        <v>0</v>
      </c>
      <c r="N90" s="57"/>
      <c r="O90" s="95">
        <f>الجدول2[[#This Row],[سعرالشراء]]-N90</f>
        <v>0</v>
      </c>
      <c r="P90" s="96">
        <f>الجدول2[[#This Row],[سعر البيع]]-الجدول2[[#This Row],[سعرالشراء]]</f>
        <v>0</v>
      </c>
    </row>
    <row r="91" spans="1:16" ht="31.5" customHeight="1" thickTop="1" thickBot="1" x14ac:dyDescent="0.35">
      <c r="A91" s="98" t="str">
        <f>IF(B91&lt;&gt;"", ROWS($A$12:A91), "")</f>
        <v/>
      </c>
      <c r="B91" s="57"/>
      <c r="C91" s="57"/>
      <c r="D91" s="57"/>
      <c r="E91" s="59"/>
      <c r="F91" s="57"/>
      <c r="G91" s="61"/>
      <c r="H91" s="67"/>
      <c r="I91" s="57"/>
      <c r="J91" s="57"/>
      <c r="K91" s="57"/>
      <c r="L91" s="57"/>
      <c r="M91" s="95">
        <f>الجدول2[[#This Row],[سعر البيع]]-الجدول2[[#This Row],[ المستلم من العميل]]</f>
        <v>0</v>
      </c>
      <c r="N91" s="57"/>
      <c r="O91" s="95">
        <f>الجدول2[[#This Row],[سعرالشراء]]-N91</f>
        <v>0</v>
      </c>
      <c r="P91" s="96">
        <f>الجدول2[[#This Row],[سعر البيع]]-الجدول2[[#This Row],[سعرالشراء]]</f>
        <v>0</v>
      </c>
    </row>
    <row r="92" spans="1:16" ht="31.5" customHeight="1" thickTop="1" thickBot="1" x14ac:dyDescent="0.35">
      <c r="A92" s="98" t="str">
        <f>IF(B92&lt;&gt;"", ROWS($A$12:A92), "")</f>
        <v/>
      </c>
      <c r="B92" s="57"/>
      <c r="C92" s="57"/>
      <c r="D92" s="57"/>
      <c r="E92" s="59"/>
      <c r="F92" s="57"/>
      <c r="G92" s="61"/>
      <c r="H92" s="67"/>
      <c r="I92" s="57"/>
      <c r="J92" s="57"/>
      <c r="K92" s="57"/>
      <c r="L92" s="57"/>
      <c r="M92" s="95">
        <f>الجدول2[[#This Row],[سعر البيع]]-الجدول2[[#This Row],[ المستلم من العميل]]</f>
        <v>0</v>
      </c>
      <c r="N92" s="57"/>
      <c r="O92" s="95">
        <f>الجدول2[[#This Row],[سعرالشراء]]-N92</f>
        <v>0</v>
      </c>
      <c r="P92" s="96">
        <f>الجدول2[[#This Row],[سعر البيع]]-الجدول2[[#This Row],[سعرالشراء]]</f>
        <v>0</v>
      </c>
    </row>
    <row r="93" spans="1:16" ht="31.5" customHeight="1" thickTop="1" thickBot="1" x14ac:dyDescent="0.35">
      <c r="A93" s="98" t="str">
        <f>IF(B93&lt;&gt;"", ROWS($A$12:A93), "")</f>
        <v/>
      </c>
      <c r="B93" s="57"/>
      <c r="C93" s="57"/>
      <c r="D93" s="57"/>
      <c r="E93" s="59"/>
      <c r="F93" s="57"/>
      <c r="G93" s="61"/>
      <c r="H93" s="67"/>
      <c r="I93" s="57"/>
      <c r="J93" s="57"/>
      <c r="K93" s="57"/>
      <c r="L93" s="57"/>
      <c r="M93" s="95">
        <f>الجدول2[[#This Row],[سعر البيع]]-الجدول2[[#This Row],[ المستلم من العميل]]</f>
        <v>0</v>
      </c>
      <c r="N93" s="57"/>
      <c r="O93" s="95">
        <f>الجدول2[[#This Row],[سعرالشراء]]-N93</f>
        <v>0</v>
      </c>
      <c r="P93" s="96">
        <f>الجدول2[[#This Row],[سعر البيع]]-الجدول2[[#This Row],[سعرالشراء]]</f>
        <v>0</v>
      </c>
    </row>
    <row r="94" spans="1:16" ht="31.5" customHeight="1" thickTop="1" thickBot="1" x14ac:dyDescent="0.35">
      <c r="A94" s="98" t="str">
        <f>IF(B94&lt;&gt;"", ROWS($A$12:A94), "")</f>
        <v/>
      </c>
      <c r="B94" s="57"/>
      <c r="C94" s="57"/>
      <c r="D94" s="57"/>
      <c r="E94" s="59"/>
      <c r="F94" s="57"/>
      <c r="G94" s="61"/>
      <c r="H94" s="67"/>
      <c r="I94" s="57"/>
      <c r="J94" s="57"/>
      <c r="K94" s="57"/>
      <c r="L94" s="57"/>
      <c r="M94" s="95">
        <f>الجدول2[[#This Row],[سعر البيع]]-الجدول2[[#This Row],[ المستلم من العميل]]</f>
        <v>0</v>
      </c>
      <c r="N94" s="57"/>
      <c r="O94" s="95">
        <f>الجدول2[[#This Row],[سعرالشراء]]-N94</f>
        <v>0</v>
      </c>
      <c r="P94" s="96">
        <f>الجدول2[[#This Row],[سعر البيع]]-الجدول2[[#This Row],[سعرالشراء]]</f>
        <v>0</v>
      </c>
    </row>
    <row r="95" spans="1:16" ht="31.5" customHeight="1" thickTop="1" thickBot="1" x14ac:dyDescent="0.35">
      <c r="A95" s="98" t="str">
        <f>IF(B95&lt;&gt;"", ROWS($A$12:A95), "")</f>
        <v/>
      </c>
      <c r="B95" s="57"/>
      <c r="C95" s="57"/>
      <c r="D95" s="57"/>
      <c r="E95" s="59"/>
      <c r="F95" s="57"/>
      <c r="G95" s="61"/>
      <c r="H95" s="67"/>
      <c r="I95" s="57"/>
      <c r="J95" s="57"/>
      <c r="K95" s="57"/>
      <c r="L95" s="57"/>
      <c r="M95" s="95">
        <f>الجدول2[[#This Row],[سعر البيع]]-الجدول2[[#This Row],[ المستلم من العميل]]</f>
        <v>0</v>
      </c>
      <c r="N95" s="57"/>
      <c r="O95" s="95">
        <f>الجدول2[[#This Row],[سعرالشراء]]-N95</f>
        <v>0</v>
      </c>
      <c r="P95" s="96">
        <f>الجدول2[[#This Row],[سعر البيع]]-الجدول2[[#This Row],[سعرالشراء]]</f>
        <v>0</v>
      </c>
    </row>
    <row r="96" spans="1:16" ht="31.5" customHeight="1" thickTop="1" thickBot="1" x14ac:dyDescent="0.35">
      <c r="A96" s="98" t="str">
        <f>IF(B96&lt;&gt;"", ROWS($A$12:A96), "")</f>
        <v/>
      </c>
      <c r="B96" s="57"/>
      <c r="C96" s="57"/>
      <c r="D96" s="57"/>
      <c r="E96" s="59"/>
      <c r="F96" s="57"/>
      <c r="G96" s="61"/>
      <c r="H96" s="67"/>
      <c r="I96" s="57"/>
      <c r="J96" s="57"/>
      <c r="K96" s="57"/>
      <c r="L96" s="57"/>
      <c r="M96" s="95">
        <f>الجدول2[[#This Row],[سعر البيع]]-الجدول2[[#This Row],[ المستلم من العميل]]</f>
        <v>0</v>
      </c>
      <c r="N96" s="57"/>
      <c r="O96" s="95">
        <f>الجدول2[[#This Row],[سعرالشراء]]-N96</f>
        <v>0</v>
      </c>
      <c r="P96" s="96">
        <f>الجدول2[[#This Row],[سعر البيع]]-الجدول2[[#This Row],[سعرالشراء]]</f>
        <v>0</v>
      </c>
    </row>
    <row r="97" spans="1:25" ht="31.5" customHeight="1" thickTop="1" thickBot="1" x14ac:dyDescent="0.35">
      <c r="A97" s="98" t="str">
        <f>IF(B97&lt;&gt;"", ROWS($A$12:A97), "")</f>
        <v/>
      </c>
      <c r="B97" s="57"/>
      <c r="C97" s="57"/>
      <c r="D97" s="57"/>
      <c r="E97" s="59"/>
      <c r="F97" s="57"/>
      <c r="G97" s="61"/>
      <c r="H97" s="67"/>
      <c r="I97" s="57"/>
      <c r="J97" s="57"/>
      <c r="K97" s="57"/>
      <c r="L97" s="57"/>
      <c r="M97" s="95">
        <f>الجدول2[[#This Row],[سعر البيع]]-الجدول2[[#This Row],[ المستلم من العميل]]</f>
        <v>0</v>
      </c>
      <c r="N97" s="57"/>
      <c r="O97" s="95">
        <f>الجدول2[[#This Row],[سعرالشراء]]-N97</f>
        <v>0</v>
      </c>
      <c r="P97" s="96">
        <f>الجدول2[[#This Row],[سعر البيع]]-الجدول2[[#This Row],[سعرالشراء]]</f>
        <v>0</v>
      </c>
    </row>
    <row r="98" spans="1:25" ht="31.5" customHeight="1" thickTop="1" thickBot="1" x14ac:dyDescent="0.35">
      <c r="A98" s="98" t="str">
        <f>IF(B98&lt;&gt;"", ROWS($A$12:A98), "")</f>
        <v/>
      </c>
      <c r="B98" s="57"/>
      <c r="C98" s="57"/>
      <c r="D98" s="57"/>
      <c r="E98" s="59"/>
      <c r="F98" s="57"/>
      <c r="G98" s="61"/>
      <c r="H98" s="67"/>
      <c r="I98" s="57"/>
      <c r="J98" s="57"/>
      <c r="K98" s="57"/>
      <c r="L98" s="57"/>
      <c r="M98" s="95">
        <f>الجدول2[[#This Row],[سعر البيع]]-الجدول2[[#This Row],[ المستلم من العميل]]</f>
        <v>0</v>
      </c>
      <c r="N98" s="57"/>
      <c r="O98" s="95">
        <f>الجدول2[[#This Row],[سعرالشراء]]-N98</f>
        <v>0</v>
      </c>
      <c r="P98" s="96">
        <f>الجدول2[[#This Row],[سعر البيع]]-الجدول2[[#This Row],[سعرالشراء]]</f>
        <v>0</v>
      </c>
    </row>
    <row r="99" spans="1:25" ht="31.5" customHeight="1" thickTop="1" thickBot="1" x14ac:dyDescent="0.35">
      <c r="A99" s="98" t="str">
        <f>IF(B99&lt;&gt;"", ROWS($A$12:A99), "")</f>
        <v/>
      </c>
      <c r="B99" s="57"/>
      <c r="C99" s="57"/>
      <c r="D99" s="57"/>
      <c r="E99" s="59"/>
      <c r="F99" s="57"/>
      <c r="G99" s="61"/>
      <c r="H99" s="67"/>
      <c r="I99" s="57"/>
      <c r="J99" s="57"/>
      <c r="K99" s="57"/>
      <c r="L99" s="57"/>
      <c r="M99" s="95">
        <f>الجدول2[[#This Row],[سعر البيع]]-الجدول2[[#This Row],[ المستلم من العميل]]</f>
        <v>0</v>
      </c>
      <c r="N99" s="57"/>
      <c r="O99" s="95">
        <f>الجدول2[[#This Row],[سعرالشراء]]-N99</f>
        <v>0</v>
      </c>
      <c r="P99" s="96">
        <f>الجدول2[[#This Row],[سعر البيع]]-الجدول2[[#This Row],[سعرالشراء]]</f>
        <v>0</v>
      </c>
    </row>
    <row r="100" spans="1:25" ht="31.5" customHeight="1" thickTop="1" thickBot="1" x14ac:dyDescent="0.35">
      <c r="A100" s="98" t="str">
        <f>IF(B100&lt;&gt;"", ROWS($A$12:A100), "")</f>
        <v/>
      </c>
      <c r="B100" s="57"/>
      <c r="C100" s="57"/>
      <c r="D100" s="57"/>
      <c r="E100" s="59"/>
      <c r="F100" s="57"/>
      <c r="G100" s="61"/>
      <c r="H100" s="67"/>
      <c r="I100" s="57"/>
      <c r="J100" s="57"/>
      <c r="K100" s="57"/>
      <c r="L100" s="57"/>
      <c r="M100" s="95">
        <f>الجدول2[[#This Row],[سعر البيع]]-الجدول2[[#This Row],[ المستلم من العميل]]</f>
        <v>0</v>
      </c>
      <c r="N100" s="57"/>
      <c r="O100" s="95">
        <f>الجدول2[[#This Row],[سعرالشراء]]-N100</f>
        <v>0</v>
      </c>
      <c r="P100" s="96">
        <f>الجدول2[[#This Row],[سعر البيع]]-الجدول2[[#This Row],[سعرالشراء]]</f>
        <v>0</v>
      </c>
    </row>
    <row r="101" spans="1:25" ht="31.5" customHeight="1" thickTop="1" thickBot="1" x14ac:dyDescent="0.35">
      <c r="A101" s="98" t="str">
        <f>IF(B101&lt;&gt;"", ROWS($A$12:A101), "")</f>
        <v/>
      </c>
      <c r="B101" s="57"/>
      <c r="C101" s="57"/>
      <c r="D101" s="57"/>
      <c r="E101" s="59"/>
      <c r="F101" s="57"/>
      <c r="G101" s="61"/>
      <c r="H101" s="67"/>
      <c r="I101" s="57"/>
      <c r="J101" s="57"/>
      <c r="K101" s="57"/>
      <c r="L101" s="57"/>
      <c r="M101" s="95">
        <f>الجدول2[[#This Row],[سعر البيع]]-الجدول2[[#This Row],[ المستلم من العميل]]</f>
        <v>0</v>
      </c>
      <c r="N101" s="57"/>
      <c r="O101" s="95">
        <f>الجدول2[[#This Row],[سعرالشراء]]-N101</f>
        <v>0</v>
      </c>
      <c r="P101" s="96">
        <f>الجدول2[[#This Row],[سعر البيع]]-الجدول2[[#This Row],[سعرالشراء]]</f>
        <v>0</v>
      </c>
    </row>
    <row r="102" spans="1:25" ht="31.5" customHeight="1" thickTop="1" thickBot="1" x14ac:dyDescent="0.35">
      <c r="A102" s="98" t="str">
        <f>IF(B102&lt;&gt;"", ROWS($A$12:A102), "")</f>
        <v/>
      </c>
      <c r="B102" s="57"/>
      <c r="C102" s="57"/>
      <c r="D102" s="57"/>
      <c r="E102" s="59"/>
      <c r="F102" s="57"/>
      <c r="G102" s="61"/>
      <c r="H102" s="67"/>
      <c r="I102" s="57"/>
      <c r="J102" s="57"/>
      <c r="K102" s="57"/>
      <c r="L102" s="57"/>
      <c r="M102" s="95">
        <f>الجدول2[[#This Row],[سعر البيع]]-الجدول2[[#This Row],[ المستلم من العميل]]</f>
        <v>0</v>
      </c>
      <c r="N102" s="57"/>
      <c r="O102" s="95">
        <f>الجدول2[[#This Row],[سعرالشراء]]-N102</f>
        <v>0</v>
      </c>
      <c r="P102" s="96">
        <f>الجدول2[[#This Row],[سعر البيع]]-الجدول2[[#This Row],[سعرالشراء]]</f>
        <v>0</v>
      </c>
    </row>
    <row r="103" spans="1:25" ht="31.5" customHeight="1" thickTop="1" thickBot="1" x14ac:dyDescent="0.35">
      <c r="A103" s="98" t="str">
        <f>IF(B103&lt;&gt;"", ROWS($A$12:A103), "")</f>
        <v/>
      </c>
      <c r="B103" s="57"/>
      <c r="C103" s="57"/>
      <c r="D103" s="57"/>
      <c r="E103" s="59"/>
      <c r="F103" s="57"/>
      <c r="G103" s="61"/>
      <c r="H103" s="67"/>
      <c r="I103" s="57"/>
      <c r="J103" s="57"/>
      <c r="K103" s="57"/>
      <c r="L103" s="57"/>
      <c r="M103" s="95">
        <f>الجدول2[[#This Row],[سعر البيع]]-الجدول2[[#This Row],[ المستلم من العميل]]</f>
        <v>0</v>
      </c>
      <c r="N103" s="57"/>
      <c r="O103" s="95">
        <f>الجدول2[[#This Row],[سعرالشراء]]-N103</f>
        <v>0</v>
      </c>
      <c r="P103" s="96">
        <f>الجدول2[[#This Row],[سعر البيع]]-الجدول2[[#This Row],[سعرالشراء]]</f>
        <v>0</v>
      </c>
    </row>
    <row r="104" spans="1:25" ht="31.5" customHeight="1" thickTop="1" thickBot="1" x14ac:dyDescent="0.35">
      <c r="A104" s="98" t="str">
        <f>IF(B104&lt;&gt;"", ROWS($A$12:A104), "")</f>
        <v/>
      </c>
      <c r="B104" s="57"/>
      <c r="C104" s="57"/>
      <c r="D104" s="57"/>
      <c r="E104" s="59"/>
      <c r="F104" s="57"/>
      <c r="G104" s="61"/>
      <c r="H104" s="67"/>
      <c r="I104" s="57"/>
      <c r="J104" s="57"/>
      <c r="K104" s="57"/>
      <c r="L104" s="57"/>
      <c r="M104" s="95">
        <f>الجدول2[[#This Row],[سعر البيع]]-الجدول2[[#This Row],[ المستلم من العميل]]</f>
        <v>0</v>
      </c>
      <c r="N104" s="57"/>
      <c r="O104" s="95">
        <f>الجدول2[[#This Row],[سعرالشراء]]-N104</f>
        <v>0</v>
      </c>
      <c r="P104" s="96">
        <f>الجدول2[[#This Row],[سعر البيع]]-الجدول2[[#This Row],[سعرالشراء]]</f>
        <v>0</v>
      </c>
    </row>
    <row r="105" spans="1:25" ht="31.5" customHeight="1" thickTop="1" thickBot="1" x14ac:dyDescent="0.35">
      <c r="A105" s="98" t="str">
        <f>IF(B105&lt;&gt;"", ROWS($A$12:A105), "")</f>
        <v/>
      </c>
      <c r="B105" s="57"/>
      <c r="C105" s="57"/>
      <c r="D105" s="57"/>
      <c r="E105" s="59"/>
      <c r="F105" s="57"/>
      <c r="G105" s="61"/>
      <c r="H105" s="67"/>
      <c r="I105" s="57"/>
      <c r="J105" s="57"/>
      <c r="K105" s="57"/>
      <c r="L105" s="57"/>
      <c r="M105" s="95">
        <f>الجدول2[[#This Row],[سعر البيع]]-الجدول2[[#This Row],[ المستلم من العميل]]</f>
        <v>0</v>
      </c>
      <c r="N105" s="57"/>
      <c r="O105" s="95">
        <f>الجدول2[[#This Row],[سعرالشراء]]-N105</f>
        <v>0</v>
      </c>
      <c r="P105" s="96">
        <f>الجدول2[[#This Row],[سعر البيع]]-الجدول2[[#This Row],[سعرالشراء]]</f>
        <v>0</v>
      </c>
    </row>
    <row r="106" spans="1:25" ht="31.5" customHeight="1" thickTop="1" thickBot="1" x14ac:dyDescent="0.35">
      <c r="A106" s="98" t="str">
        <f>IF(B106&lt;&gt;"", ROWS($A$12:A106), "")</f>
        <v/>
      </c>
      <c r="B106" s="58"/>
      <c r="C106" s="58"/>
      <c r="D106" s="58"/>
      <c r="E106" s="60"/>
      <c r="F106" s="58"/>
      <c r="G106" s="62"/>
      <c r="H106" s="68"/>
      <c r="I106" s="58"/>
      <c r="J106" s="58"/>
      <c r="K106" s="58"/>
      <c r="L106" s="58"/>
      <c r="M106" s="95">
        <f>الجدول2[[#This Row],[سعر البيع]]-الجدول2[[#This Row],[ المستلم من العميل]]</f>
        <v>0</v>
      </c>
      <c r="N106" s="58"/>
      <c r="O106" s="95">
        <f>الجدول2[[#This Row],[سعرالشراء]]-N106</f>
        <v>0</v>
      </c>
      <c r="P106" s="96">
        <f>الجدول2[[#This Row],[سعر البيع]]-الجدول2[[#This Row],[سعرالشراء]]</f>
        <v>0</v>
      </c>
    </row>
    <row r="107" spans="1:25" ht="31.5" customHeight="1" thickTop="1" thickBot="1" x14ac:dyDescent="0.35">
      <c r="A107" s="98" t="str">
        <f>IF(B107&lt;&gt;"", ROWS($A$12:A107), "")</f>
        <v/>
      </c>
      <c r="B107" s="58"/>
      <c r="C107" s="58"/>
      <c r="D107" s="58"/>
      <c r="E107" s="60"/>
      <c r="F107" s="58"/>
      <c r="G107" s="62"/>
      <c r="H107" s="68"/>
      <c r="I107" s="58"/>
      <c r="J107" s="58"/>
      <c r="K107" s="58"/>
      <c r="L107" s="58"/>
      <c r="M107" s="95">
        <f>الجدول2[[#This Row],[سعر البيع]]-الجدول2[[#This Row],[ المستلم من العميل]]</f>
        <v>0</v>
      </c>
      <c r="N107" s="58"/>
      <c r="O107" s="95">
        <f>الجدول2[[#This Row],[سعرالشراء]]-N107</f>
        <v>0</v>
      </c>
      <c r="P107" s="96">
        <f>الجدول2[[#This Row],[سعر البيع]]-الجدول2[[#This Row],[سعرالشراء]]</f>
        <v>0</v>
      </c>
    </row>
    <row r="108" spans="1:25" ht="31.5" customHeight="1" thickTop="1" thickBot="1" x14ac:dyDescent="0.35">
      <c r="A108" s="98" t="str">
        <f>IF(B108&lt;&gt;"", ROWS($A$12:A108), "")</f>
        <v/>
      </c>
      <c r="B108" s="58"/>
      <c r="C108" s="58"/>
      <c r="D108" s="58"/>
      <c r="E108" s="60"/>
      <c r="F108" s="58"/>
      <c r="G108" s="62"/>
      <c r="H108" s="68"/>
      <c r="I108" s="58"/>
      <c r="J108" s="58"/>
      <c r="K108" s="58"/>
      <c r="L108" s="58"/>
      <c r="M108" s="95">
        <f>الجدول2[[#This Row],[سعر البيع]]-الجدول2[[#This Row],[ المستلم من العميل]]</f>
        <v>0</v>
      </c>
      <c r="N108" s="58"/>
      <c r="O108" s="95">
        <f>الجدول2[[#This Row],[سعرالشراء]]-N108</f>
        <v>0</v>
      </c>
      <c r="P108" s="96">
        <f>الجدول2[[#This Row],[سعر البيع]]-الجدول2[[#This Row],[سعرالشراء]]</f>
        <v>0</v>
      </c>
    </row>
    <row r="109" spans="1:25" ht="31.5" customHeight="1" thickTop="1" thickBot="1" x14ac:dyDescent="0.35">
      <c r="A109" s="98" t="str">
        <f>IF(B109&lt;&gt;"", ROWS($A$12:A109), "")</f>
        <v/>
      </c>
      <c r="B109" s="58"/>
      <c r="C109" s="58"/>
      <c r="D109" s="58"/>
      <c r="E109" s="60"/>
      <c r="F109" s="58"/>
      <c r="G109" s="62"/>
      <c r="H109" s="68"/>
      <c r="I109" s="58"/>
      <c r="J109" s="58"/>
      <c r="K109" s="58"/>
      <c r="L109" s="58"/>
      <c r="M109" s="95">
        <f>الجدول2[[#This Row],[سعر البيع]]-الجدول2[[#This Row],[ المستلم من العميل]]</f>
        <v>0</v>
      </c>
      <c r="N109" s="58"/>
      <c r="O109" s="95">
        <f>الجدول2[[#This Row],[سعرالشراء]]-N109</f>
        <v>0</v>
      </c>
      <c r="P109" s="96">
        <f>الجدول2[[#This Row],[سعر البيع]]-الجدول2[[#This Row],[سعرالشراء]]</f>
        <v>0</v>
      </c>
    </row>
    <row r="110" spans="1:25" ht="31.5" customHeight="1" thickTop="1" thickBot="1" x14ac:dyDescent="0.35">
      <c r="A110" s="98" t="str">
        <f>IF(B110&lt;&gt;"", ROWS($A$12:A110), "")</f>
        <v/>
      </c>
      <c r="B110" s="58"/>
      <c r="C110" s="58"/>
      <c r="D110" s="58"/>
      <c r="E110" s="60"/>
      <c r="F110" s="58"/>
      <c r="G110" s="62"/>
      <c r="H110" s="68"/>
      <c r="I110" s="58"/>
      <c r="J110" s="58"/>
      <c r="K110" s="58"/>
      <c r="L110" s="58"/>
      <c r="M110" s="95">
        <f>الجدول2[[#This Row],[سعر البيع]]-الجدول2[[#This Row],[ المستلم من العميل]]</f>
        <v>0</v>
      </c>
      <c r="N110" s="58"/>
      <c r="O110" s="95">
        <f>الجدول2[[#This Row],[سعرالشراء]]-N110</f>
        <v>0</v>
      </c>
      <c r="P110" s="96">
        <f>الجدول2[[#This Row],[سعر البيع]]-الجدول2[[#This Row],[سعرالشراء]]</f>
        <v>0</v>
      </c>
    </row>
    <row r="111" spans="1:25" ht="31.5" customHeight="1" thickTop="1" thickBot="1" x14ac:dyDescent="0.35">
      <c r="A111" s="121" t="str">
        <f>IF(B111&lt;&gt;"", ROWS($A$12:A312), "")</f>
        <v/>
      </c>
      <c r="B111" s="58"/>
      <c r="C111" s="58"/>
      <c r="D111" s="58"/>
      <c r="E111" s="60"/>
      <c r="F111" s="58"/>
      <c r="G111" s="62"/>
      <c r="H111" s="68"/>
      <c r="I111" s="58"/>
      <c r="J111" s="58"/>
      <c r="K111" s="58"/>
      <c r="L111" s="58"/>
      <c r="M111" s="95">
        <f>الجدول2[[#This Row],[سعر البيع]]-الجدول2[[#This Row],[ المستلم من العميل]]</f>
        <v>0</v>
      </c>
      <c r="N111" s="58"/>
      <c r="O111" s="95">
        <f>الجدول2[[#This Row],[سعرالشراء]]-N111</f>
        <v>0</v>
      </c>
      <c r="P111" s="96">
        <f>الجدول2[[#This Row],[سعر البيع]]-الجدول2[[#This Row],[سعرالشراء]]</f>
        <v>0</v>
      </c>
    </row>
    <row r="112" spans="1:25" ht="31.5" customHeight="1" thickTop="1" thickBot="1" x14ac:dyDescent="0.35">
      <c r="A112" s="122" t="str">
        <f>IF(B112&lt;&gt;"", ROWS($A$12:A312), "")</f>
        <v/>
      </c>
      <c r="B112" s="58"/>
      <c r="C112" s="58"/>
      <c r="D112" s="58"/>
      <c r="E112" s="60"/>
      <c r="F112" s="58"/>
      <c r="G112" s="62"/>
      <c r="H112" s="68"/>
      <c r="I112" s="58"/>
      <c r="J112" s="58"/>
      <c r="K112" s="58"/>
      <c r="L112" s="58"/>
      <c r="M112" s="119">
        <f>الجدول2[[#This Row],[سعر البيع]]-الجدول2[[#This Row],[ المستلم من العميل]]</f>
        <v>0</v>
      </c>
      <c r="N112" s="58"/>
      <c r="O112" s="119">
        <f>الجدول2[[#This Row],[سعرالشراء]]-N112</f>
        <v>0</v>
      </c>
      <c r="P112" s="120">
        <f>الجدول2[[#This Row],[سعر البيع]]-الجدول2[[#This Row],[سعرالشراء]]</f>
        <v>0</v>
      </c>
      <c r="T112" s="105"/>
      <c r="Y112" s="99"/>
    </row>
    <row r="113" spans="1:16" ht="31.5" customHeight="1" thickTop="1" thickBot="1" x14ac:dyDescent="0.35">
      <c r="A113" s="123" t="str">
        <f>IF(B113&lt;&gt;"", ROWS($A$12:A312), "")</f>
        <v/>
      </c>
      <c r="B113" s="57"/>
      <c r="C113" s="57"/>
      <c r="D113" s="58"/>
      <c r="E113" s="59"/>
      <c r="F113" s="57"/>
      <c r="G113" s="62"/>
      <c r="H113" s="67"/>
      <c r="I113" s="57"/>
      <c r="J113" s="57"/>
      <c r="K113" s="57"/>
      <c r="L113" s="57"/>
      <c r="M113" s="95">
        <f>الجدول2[[#This Row],[سعر البيع]]-الجدول2[[#This Row],[ المستلم من العميل]]</f>
        <v>0</v>
      </c>
      <c r="N113" s="57"/>
      <c r="O113" s="95">
        <f>الجدول2[[#This Row],[سعرالشراء]]-N113</f>
        <v>0</v>
      </c>
      <c r="P113" s="118">
        <f>الجدول2[[#This Row],[سعر البيع]]-الجدول2[[#This Row],[سعرالشراء]]</f>
        <v>0</v>
      </c>
    </row>
    <row r="114" spans="1:16" ht="31.5" customHeight="1" thickTop="1" thickBot="1" x14ac:dyDescent="0.35">
      <c r="A114" s="123" t="str">
        <f>IF(B114&lt;&gt;"", ROWS($A$12:A312), "")</f>
        <v/>
      </c>
      <c r="B114" s="57"/>
      <c r="C114" s="57"/>
      <c r="D114" s="58"/>
      <c r="E114" s="59"/>
      <c r="F114" s="57"/>
      <c r="G114" s="62"/>
      <c r="H114" s="67"/>
      <c r="I114" s="57"/>
      <c r="J114" s="57"/>
      <c r="K114" s="57"/>
      <c r="L114" s="57"/>
      <c r="M114" s="95">
        <f>الجدول2[[#This Row],[سعر البيع]]-الجدول2[[#This Row],[ المستلم من العميل]]</f>
        <v>0</v>
      </c>
      <c r="N114" s="57"/>
      <c r="O114" s="95">
        <f>الجدول2[[#This Row],[سعرالشراء]]-N114</f>
        <v>0</v>
      </c>
      <c r="P114" s="118">
        <f>الجدول2[[#This Row],[سعر البيع]]-الجدول2[[#This Row],[سعرالشراء]]</f>
        <v>0</v>
      </c>
    </row>
    <row r="115" spans="1:16" ht="31.5" customHeight="1" thickTop="1" thickBot="1" x14ac:dyDescent="0.35">
      <c r="A115" s="123" t="str">
        <f>IF(B115&lt;&gt;"", ROWS($A$12:A312), "")</f>
        <v/>
      </c>
      <c r="B115" s="57"/>
      <c r="C115" s="57"/>
      <c r="D115" s="58"/>
      <c r="E115" s="59"/>
      <c r="F115" s="57"/>
      <c r="G115" s="62"/>
      <c r="H115" s="67"/>
      <c r="I115" s="57"/>
      <c r="J115" s="57"/>
      <c r="K115" s="57"/>
      <c r="L115" s="57"/>
      <c r="M115" s="95">
        <f>الجدول2[[#This Row],[سعر البيع]]-الجدول2[[#This Row],[ المستلم من العميل]]</f>
        <v>0</v>
      </c>
      <c r="N115" s="57"/>
      <c r="O115" s="95">
        <f>الجدول2[[#This Row],[سعرالشراء]]-N115</f>
        <v>0</v>
      </c>
      <c r="P115" s="118">
        <f>الجدول2[[#This Row],[سعر البيع]]-الجدول2[[#This Row],[سعرالشراء]]</f>
        <v>0</v>
      </c>
    </row>
    <row r="116" spans="1:16" ht="31.5" customHeight="1" thickTop="1" thickBot="1" x14ac:dyDescent="0.35">
      <c r="A116" s="123" t="str">
        <f>IF(B116&lt;&gt;"", ROWS($A$12:A312), "")</f>
        <v/>
      </c>
      <c r="B116" s="57"/>
      <c r="C116" s="57"/>
      <c r="D116" s="58"/>
      <c r="E116" s="59"/>
      <c r="F116" s="57"/>
      <c r="G116" s="62"/>
      <c r="H116" s="67"/>
      <c r="I116" s="57"/>
      <c r="J116" s="57"/>
      <c r="K116" s="57"/>
      <c r="L116" s="57"/>
      <c r="M116" s="95">
        <f>الجدول2[[#This Row],[سعر البيع]]-الجدول2[[#This Row],[ المستلم من العميل]]</f>
        <v>0</v>
      </c>
      <c r="N116" s="57"/>
      <c r="O116" s="95">
        <f>الجدول2[[#This Row],[سعرالشراء]]-N116</f>
        <v>0</v>
      </c>
      <c r="P116" s="118">
        <f>الجدول2[[#This Row],[سعر البيع]]-الجدول2[[#This Row],[سعرالشراء]]</f>
        <v>0</v>
      </c>
    </row>
    <row r="117" spans="1:16" ht="31.5" customHeight="1" thickTop="1" thickBot="1" x14ac:dyDescent="0.35">
      <c r="A117" s="123" t="str">
        <f>IF(B117&lt;&gt;"", ROWS($A$12:A312), "")</f>
        <v/>
      </c>
      <c r="B117" s="57"/>
      <c r="C117" s="57"/>
      <c r="D117" s="58"/>
      <c r="E117" s="59"/>
      <c r="F117" s="57"/>
      <c r="G117" s="62"/>
      <c r="H117" s="67"/>
      <c r="I117" s="57"/>
      <c r="J117" s="57"/>
      <c r="K117" s="57"/>
      <c r="L117" s="57"/>
      <c r="M117" s="95">
        <f>الجدول2[[#This Row],[سعر البيع]]-الجدول2[[#This Row],[ المستلم من العميل]]</f>
        <v>0</v>
      </c>
      <c r="N117" s="57"/>
      <c r="O117" s="95">
        <f>الجدول2[[#This Row],[سعرالشراء]]-N117</f>
        <v>0</v>
      </c>
      <c r="P117" s="118">
        <f>الجدول2[[#This Row],[سعر البيع]]-الجدول2[[#This Row],[سعرالشراء]]</f>
        <v>0</v>
      </c>
    </row>
    <row r="118" spans="1:16" ht="31.5" customHeight="1" thickTop="1" thickBot="1" x14ac:dyDescent="0.35">
      <c r="A118" s="123" t="str">
        <f>IF(B118&lt;&gt;"", ROWS($A$12:A312), "")</f>
        <v/>
      </c>
      <c r="B118" s="57"/>
      <c r="C118" s="57"/>
      <c r="D118" s="58"/>
      <c r="E118" s="59"/>
      <c r="F118" s="57"/>
      <c r="G118" s="62"/>
      <c r="H118" s="67"/>
      <c r="I118" s="57"/>
      <c r="J118" s="57"/>
      <c r="K118" s="57"/>
      <c r="L118" s="57"/>
      <c r="M118" s="95">
        <f>الجدول2[[#This Row],[سعر البيع]]-الجدول2[[#This Row],[ المستلم من العميل]]</f>
        <v>0</v>
      </c>
      <c r="N118" s="57"/>
      <c r="O118" s="95">
        <f>الجدول2[[#This Row],[سعرالشراء]]-N118</f>
        <v>0</v>
      </c>
      <c r="P118" s="118">
        <f>الجدول2[[#This Row],[سعر البيع]]-الجدول2[[#This Row],[سعرالشراء]]</f>
        <v>0</v>
      </c>
    </row>
    <row r="119" spans="1:16" ht="31.5" customHeight="1" thickTop="1" thickBot="1" x14ac:dyDescent="0.35">
      <c r="A119" s="123" t="str">
        <f>IF(B119&lt;&gt;"", ROWS($A$12:A312), "")</f>
        <v/>
      </c>
      <c r="B119" s="57"/>
      <c r="C119" s="57"/>
      <c r="D119" s="58"/>
      <c r="E119" s="59"/>
      <c r="F119" s="57"/>
      <c r="G119" s="62"/>
      <c r="H119" s="67"/>
      <c r="I119" s="57"/>
      <c r="J119" s="57"/>
      <c r="K119" s="57"/>
      <c r="L119" s="57"/>
      <c r="M119" s="95">
        <f>الجدول2[[#This Row],[سعر البيع]]-الجدول2[[#This Row],[ المستلم من العميل]]</f>
        <v>0</v>
      </c>
      <c r="N119" s="57"/>
      <c r="O119" s="95">
        <f>الجدول2[[#This Row],[سعرالشراء]]-N119</f>
        <v>0</v>
      </c>
      <c r="P119" s="118">
        <f>الجدول2[[#This Row],[سعر البيع]]-الجدول2[[#This Row],[سعرالشراء]]</f>
        <v>0</v>
      </c>
    </row>
    <row r="120" spans="1:16" ht="31.5" customHeight="1" thickTop="1" thickBot="1" x14ac:dyDescent="0.35">
      <c r="A120" s="123" t="str">
        <f>IF(B120&lt;&gt;"", ROWS($A$12:A312), "")</f>
        <v/>
      </c>
      <c r="B120" s="57"/>
      <c r="C120" s="57"/>
      <c r="D120" s="58"/>
      <c r="E120" s="59"/>
      <c r="F120" s="57"/>
      <c r="G120" s="62"/>
      <c r="H120" s="67"/>
      <c r="I120" s="57"/>
      <c r="J120" s="57"/>
      <c r="K120" s="57"/>
      <c r="L120" s="57"/>
      <c r="M120" s="95">
        <f>الجدول2[[#This Row],[سعر البيع]]-الجدول2[[#This Row],[ المستلم من العميل]]</f>
        <v>0</v>
      </c>
      <c r="N120" s="57"/>
      <c r="O120" s="95">
        <f>الجدول2[[#This Row],[سعرالشراء]]-N120</f>
        <v>0</v>
      </c>
      <c r="P120" s="118">
        <f>الجدول2[[#This Row],[سعر البيع]]-الجدول2[[#This Row],[سعرالشراء]]</f>
        <v>0</v>
      </c>
    </row>
    <row r="121" spans="1:16" ht="31.5" customHeight="1" thickTop="1" thickBot="1" x14ac:dyDescent="0.35">
      <c r="A121" s="123" t="str">
        <f>IF(B121&lt;&gt;"", ROWS($A$12:A312), "")</f>
        <v/>
      </c>
      <c r="B121" s="57"/>
      <c r="C121" s="57"/>
      <c r="D121" s="58"/>
      <c r="E121" s="59"/>
      <c r="F121" s="57"/>
      <c r="G121" s="62"/>
      <c r="H121" s="67"/>
      <c r="I121" s="57"/>
      <c r="J121" s="57"/>
      <c r="K121" s="57"/>
      <c r="L121" s="57"/>
      <c r="M121" s="95">
        <f>الجدول2[[#This Row],[سعر البيع]]-الجدول2[[#This Row],[ المستلم من العميل]]</f>
        <v>0</v>
      </c>
      <c r="N121" s="57"/>
      <c r="O121" s="95">
        <f>الجدول2[[#This Row],[سعرالشراء]]-N121</f>
        <v>0</v>
      </c>
      <c r="P121" s="118">
        <f>الجدول2[[#This Row],[سعر البيع]]-الجدول2[[#This Row],[سعرالشراء]]</f>
        <v>0</v>
      </c>
    </row>
    <row r="122" spans="1:16" ht="31.5" customHeight="1" thickTop="1" thickBot="1" x14ac:dyDescent="0.35">
      <c r="A122" s="123" t="str">
        <f>IF(B122&lt;&gt;"", ROWS($A$12:A312), "")</f>
        <v/>
      </c>
      <c r="B122" s="57"/>
      <c r="C122" s="57"/>
      <c r="D122" s="58"/>
      <c r="E122" s="59"/>
      <c r="F122" s="57"/>
      <c r="G122" s="62"/>
      <c r="H122" s="67"/>
      <c r="I122" s="57"/>
      <c r="J122" s="57"/>
      <c r="K122" s="57"/>
      <c r="L122" s="57"/>
      <c r="M122" s="95">
        <f>الجدول2[[#This Row],[سعر البيع]]-الجدول2[[#This Row],[ المستلم من العميل]]</f>
        <v>0</v>
      </c>
      <c r="N122" s="57"/>
      <c r="O122" s="95">
        <f>الجدول2[[#This Row],[سعرالشراء]]-N122</f>
        <v>0</v>
      </c>
      <c r="P122" s="118">
        <f>الجدول2[[#This Row],[سعر البيع]]-الجدول2[[#This Row],[سعرالشراء]]</f>
        <v>0</v>
      </c>
    </row>
    <row r="123" spans="1:16" ht="31.5" customHeight="1" thickTop="1" thickBot="1" x14ac:dyDescent="0.35">
      <c r="A123" s="123" t="str">
        <f>IF(B123&lt;&gt;"", ROWS($A$12:A312), "")</f>
        <v/>
      </c>
      <c r="B123" s="57"/>
      <c r="C123" s="57"/>
      <c r="D123" s="58"/>
      <c r="E123" s="59"/>
      <c r="F123" s="57"/>
      <c r="G123" s="62"/>
      <c r="H123" s="67"/>
      <c r="I123" s="57"/>
      <c r="J123" s="57"/>
      <c r="K123" s="57"/>
      <c r="L123" s="57"/>
      <c r="M123" s="95">
        <f>الجدول2[[#This Row],[سعر البيع]]-الجدول2[[#This Row],[ المستلم من العميل]]</f>
        <v>0</v>
      </c>
      <c r="N123" s="57"/>
      <c r="O123" s="95">
        <f>الجدول2[[#This Row],[سعرالشراء]]-N123</f>
        <v>0</v>
      </c>
      <c r="P123" s="118">
        <f>الجدول2[[#This Row],[سعر البيع]]-الجدول2[[#This Row],[سعرالشراء]]</f>
        <v>0</v>
      </c>
    </row>
    <row r="124" spans="1:16" ht="31.5" customHeight="1" thickTop="1" thickBot="1" x14ac:dyDescent="0.35">
      <c r="A124" s="123" t="str">
        <f>IF(B124&lt;&gt;"", ROWS($A$12:A312), "")</f>
        <v/>
      </c>
      <c r="B124" s="57"/>
      <c r="C124" s="57"/>
      <c r="D124" s="58"/>
      <c r="E124" s="59"/>
      <c r="F124" s="57"/>
      <c r="G124" s="62"/>
      <c r="H124" s="67"/>
      <c r="I124" s="57"/>
      <c r="J124" s="57"/>
      <c r="K124" s="57"/>
      <c r="L124" s="57"/>
      <c r="M124" s="95">
        <f>الجدول2[[#This Row],[سعر البيع]]-الجدول2[[#This Row],[ المستلم من العميل]]</f>
        <v>0</v>
      </c>
      <c r="N124" s="57"/>
      <c r="O124" s="95">
        <f>الجدول2[[#This Row],[سعرالشراء]]-N124</f>
        <v>0</v>
      </c>
      <c r="P124" s="118">
        <f>الجدول2[[#This Row],[سعر البيع]]-الجدول2[[#This Row],[سعرالشراء]]</f>
        <v>0</v>
      </c>
    </row>
    <row r="125" spans="1:16" ht="31.5" customHeight="1" thickTop="1" thickBot="1" x14ac:dyDescent="0.35">
      <c r="A125" s="123" t="str">
        <f>IF(B125&lt;&gt;"", ROWS($A$12:A312), "")</f>
        <v/>
      </c>
      <c r="B125" s="57"/>
      <c r="C125" s="57"/>
      <c r="D125" s="58"/>
      <c r="E125" s="59"/>
      <c r="F125" s="57"/>
      <c r="G125" s="62"/>
      <c r="H125" s="67"/>
      <c r="I125" s="57"/>
      <c r="J125" s="57"/>
      <c r="K125" s="57"/>
      <c r="L125" s="57"/>
      <c r="M125" s="95">
        <f>الجدول2[[#This Row],[سعر البيع]]-الجدول2[[#This Row],[ المستلم من العميل]]</f>
        <v>0</v>
      </c>
      <c r="N125" s="57"/>
      <c r="O125" s="95">
        <f>الجدول2[[#This Row],[سعرالشراء]]-N125</f>
        <v>0</v>
      </c>
      <c r="P125" s="118">
        <f>الجدول2[[#This Row],[سعر البيع]]-الجدول2[[#This Row],[سعرالشراء]]</f>
        <v>0</v>
      </c>
    </row>
    <row r="126" spans="1:16" ht="31.5" customHeight="1" thickTop="1" thickBot="1" x14ac:dyDescent="0.35">
      <c r="A126" s="123" t="str">
        <f>IF(B126&lt;&gt;"", ROWS($A$12:A312), "")</f>
        <v/>
      </c>
      <c r="B126" s="57"/>
      <c r="C126" s="57"/>
      <c r="D126" s="58"/>
      <c r="E126" s="59"/>
      <c r="F126" s="57"/>
      <c r="G126" s="62"/>
      <c r="H126" s="67"/>
      <c r="I126" s="57"/>
      <c r="J126" s="57"/>
      <c r="K126" s="57"/>
      <c r="L126" s="57"/>
      <c r="M126" s="95">
        <f>الجدول2[[#This Row],[سعر البيع]]-الجدول2[[#This Row],[ المستلم من العميل]]</f>
        <v>0</v>
      </c>
      <c r="N126" s="57"/>
      <c r="O126" s="95">
        <f>الجدول2[[#This Row],[سعرالشراء]]-N126</f>
        <v>0</v>
      </c>
      <c r="P126" s="118">
        <f>الجدول2[[#This Row],[سعر البيع]]-الجدول2[[#This Row],[سعرالشراء]]</f>
        <v>0</v>
      </c>
    </row>
    <row r="127" spans="1:16" ht="31.5" customHeight="1" thickTop="1" thickBot="1" x14ac:dyDescent="0.35">
      <c r="A127" s="123" t="str">
        <f>IF(B127&lt;&gt;"", ROWS($A$12:A312), "")</f>
        <v/>
      </c>
      <c r="B127" s="57"/>
      <c r="C127" s="57"/>
      <c r="D127" s="58"/>
      <c r="E127" s="59"/>
      <c r="F127" s="57"/>
      <c r="G127" s="62"/>
      <c r="H127" s="67"/>
      <c r="I127" s="57"/>
      <c r="J127" s="57"/>
      <c r="K127" s="57"/>
      <c r="L127" s="57"/>
      <c r="M127" s="95">
        <f>الجدول2[[#This Row],[سعر البيع]]-الجدول2[[#This Row],[ المستلم من العميل]]</f>
        <v>0</v>
      </c>
      <c r="N127" s="57"/>
      <c r="O127" s="95">
        <f>الجدول2[[#This Row],[سعرالشراء]]-N127</f>
        <v>0</v>
      </c>
      <c r="P127" s="118">
        <f>الجدول2[[#This Row],[سعر البيع]]-الجدول2[[#This Row],[سعرالشراء]]</f>
        <v>0</v>
      </c>
    </row>
    <row r="128" spans="1:16" ht="31.5" customHeight="1" thickTop="1" thickBot="1" x14ac:dyDescent="0.35">
      <c r="A128" s="123" t="str">
        <f>IF(B128&lt;&gt;"", ROWS($A$12:A312), "")</f>
        <v/>
      </c>
      <c r="B128" s="57"/>
      <c r="C128" s="57"/>
      <c r="D128" s="58"/>
      <c r="E128" s="59"/>
      <c r="F128" s="57"/>
      <c r="G128" s="62"/>
      <c r="H128" s="67"/>
      <c r="I128" s="57"/>
      <c r="J128" s="57"/>
      <c r="K128" s="57"/>
      <c r="L128" s="57"/>
      <c r="M128" s="95">
        <f>الجدول2[[#This Row],[سعر البيع]]-الجدول2[[#This Row],[ المستلم من العميل]]</f>
        <v>0</v>
      </c>
      <c r="N128" s="57"/>
      <c r="O128" s="95">
        <f>الجدول2[[#This Row],[سعرالشراء]]-N128</f>
        <v>0</v>
      </c>
      <c r="P128" s="118">
        <f>الجدول2[[#This Row],[سعر البيع]]-الجدول2[[#This Row],[سعرالشراء]]</f>
        <v>0</v>
      </c>
    </row>
    <row r="129" spans="1:16" ht="31.5" customHeight="1" thickTop="1" thickBot="1" x14ac:dyDescent="0.35">
      <c r="A129" s="123" t="str">
        <f>IF(B129&lt;&gt;"", ROWS($A$12:A312), "")</f>
        <v/>
      </c>
      <c r="B129" s="57"/>
      <c r="C129" s="57"/>
      <c r="D129" s="58"/>
      <c r="E129" s="59"/>
      <c r="F129" s="57"/>
      <c r="G129" s="62"/>
      <c r="H129" s="67"/>
      <c r="I129" s="57"/>
      <c r="J129" s="57"/>
      <c r="K129" s="57"/>
      <c r="L129" s="57"/>
      <c r="M129" s="95">
        <f>الجدول2[[#This Row],[سعر البيع]]-الجدول2[[#This Row],[ المستلم من العميل]]</f>
        <v>0</v>
      </c>
      <c r="N129" s="57"/>
      <c r="O129" s="95">
        <f>الجدول2[[#This Row],[سعرالشراء]]-N129</f>
        <v>0</v>
      </c>
      <c r="P129" s="118">
        <f>الجدول2[[#This Row],[سعر البيع]]-الجدول2[[#This Row],[سعرالشراء]]</f>
        <v>0</v>
      </c>
    </row>
    <row r="130" spans="1:16" ht="31.5" customHeight="1" thickTop="1" thickBot="1" x14ac:dyDescent="0.35">
      <c r="A130" s="123" t="str">
        <f>IF(B130&lt;&gt;"", ROWS($A$12:A312), "")</f>
        <v/>
      </c>
      <c r="B130" s="57"/>
      <c r="C130" s="57"/>
      <c r="D130" s="58"/>
      <c r="E130" s="59"/>
      <c r="F130" s="57"/>
      <c r="G130" s="62"/>
      <c r="H130" s="67"/>
      <c r="I130" s="57"/>
      <c r="J130" s="57"/>
      <c r="K130" s="57"/>
      <c r="L130" s="57"/>
      <c r="M130" s="95">
        <f>الجدول2[[#This Row],[سعر البيع]]-الجدول2[[#This Row],[ المستلم من العميل]]</f>
        <v>0</v>
      </c>
      <c r="N130" s="57"/>
      <c r="O130" s="95">
        <f>الجدول2[[#This Row],[سعرالشراء]]-N130</f>
        <v>0</v>
      </c>
      <c r="P130" s="118">
        <f>الجدول2[[#This Row],[سعر البيع]]-الجدول2[[#This Row],[سعرالشراء]]</f>
        <v>0</v>
      </c>
    </row>
    <row r="131" spans="1:16" ht="31.5" customHeight="1" thickTop="1" thickBot="1" x14ac:dyDescent="0.35">
      <c r="A131" s="123" t="str">
        <f>IF(B131&lt;&gt;"", ROWS($A$12:A312), "")</f>
        <v/>
      </c>
      <c r="B131" s="57"/>
      <c r="C131" s="57"/>
      <c r="D131" s="58"/>
      <c r="E131" s="59"/>
      <c r="F131" s="57"/>
      <c r="G131" s="62"/>
      <c r="H131" s="67"/>
      <c r="I131" s="57"/>
      <c r="J131" s="57"/>
      <c r="K131" s="57"/>
      <c r="L131" s="57"/>
      <c r="M131" s="95">
        <f>الجدول2[[#This Row],[سعر البيع]]-الجدول2[[#This Row],[ المستلم من العميل]]</f>
        <v>0</v>
      </c>
      <c r="N131" s="57"/>
      <c r="O131" s="95">
        <f>الجدول2[[#This Row],[سعرالشراء]]-N131</f>
        <v>0</v>
      </c>
      <c r="P131" s="118">
        <f>الجدول2[[#This Row],[سعر البيع]]-الجدول2[[#This Row],[سعرالشراء]]</f>
        <v>0</v>
      </c>
    </row>
    <row r="132" spans="1:16" ht="31.5" customHeight="1" thickTop="1" thickBot="1" x14ac:dyDescent="0.35">
      <c r="A132" s="123" t="str">
        <f>IF(B132&lt;&gt;"", ROWS($A$12:A312), "")</f>
        <v/>
      </c>
      <c r="B132" s="57"/>
      <c r="C132" s="57"/>
      <c r="D132" s="58"/>
      <c r="E132" s="59"/>
      <c r="F132" s="57"/>
      <c r="G132" s="62"/>
      <c r="H132" s="67"/>
      <c r="I132" s="57"/>
      <c r="J132" s="57"/>
      <c r="K132" s="57"/>
      <c r="L132" s="57"/>
      <c r="M132" s="95">
        <f>الجدول2[[#This Row],[سعر البيع]]-الجدول2[[#This Row],[ المستلم من العميل]]</f>
        <v>0</v>
      </c>
      <c r="N132" s="57"/>
      <c r="O132" s="95">
        <f>الجدول2[[#This Row],[سعرالشراء]]-N132</f>
        <v>0</v>
      </c>
      <c r="P132" s="118">
        <f>الجدول2[[#This Row],[سعر البيع]]-الجدول2[[#This Row],[سعرالشراء]]</f>
        <v>0</v>
      </c>
    </row>
    <row r="133" spans="1:16" ht="31.5" customHeight="1" thickTop="1" thickBot="1" x14ac:dyDescent="0.35">
      <c r="A133" s="123" t="str">
        <f>IF(B133&lt;&gt;"", ROWS($A$12:A312), "")</f>
        <v/>
      </c>
      <c r="B133" s="57"/>
      <c r="C133" s="57"/>
      <c r="D133" s="58"/>
      <c r="E133" s="59"/>
      <c r="F133" s="57"/>
      <c r="G133" s="62"/>
      <c r="H133" s="67"/>
      <c r="I133" s="57"/>
      <c r="J133" s="57"/>
      <c r="K133" s="57"/>
      <c r="L133" s="57"/>
      <c r="M133" s="95">
        <f>الجدول2[[#This Row],[سعر البيع]]-الجدول2[[#This Row],[ المستلم من العميل]]</f>
        <v>0</v>
      </c>
      <c r="N133" s="57"/>
      <c r="O133" s="95">
        <f>الجدول2[[#This Row],[سعرالشراء]]-N133</f>
        <v>0</v>
      </c>
      <c r="P133" s="118">
        <f>الجدول2[[#This Row],[سعر البيع]]-الجدول2[[#This Row],[سعرالشراء]]</f>
        <v>0</v>
      </c>
    </row>
    <row r="134" spans="1:16" ht="31.5" customHeight="1" thickTop="1" thickBot="1" x14ac:dyDescent="0.35">
      <c r="A134" s="123" t="str">
        <f>IF(B134&lt;&gt;"", ROWS($A$12:A312), "")</f>
        <v/>
      </c>
      <c r="B134" s="57"/>
      <c r="C134" s="57"/>
      <c r="D134" s="58"/>
      <c r="E134" s="59"/>
      <c r="F134" s="57"/>
      <c r="G134" s="62"/>
      <c r="H134" s="67"/>
      <c r="I134" s="57"/>
      <c r="J134" s="57"/>
      <c r="K134" s="57"/>
      <c r="L134" s="57"/>
      <c r="M134" s="95">
        <f>الجدول2[[#This Row],[سعر البيع]]-الجدول2[[#This Row],[ المستلم من العميل]]</f>
        <v>0</v>
      </c>
      <c r="N134" s="57"/>
      <c r="O134" s="95">
        <f>الجدول2[[#This Row],[سعرالشراء]]-N134</f>
        <v>0</v>
      </c>
      <c r="P134" s="118">
        <f>الجدول2[[#This Row],[سعر البيع]]-الجدول2[[#This Row],[سعرالشراء]]</f>
        <v>0</v>
      </c>
    </row>
    <row r="135" spans="1:16" ht="31.5" customHeight="1" thickTop="1" thickBot="1" x14ac:dyDescent="0.35">
      <c r="A135" s="123" t="str">
        <f>IF(B135&lt;&gt;"", ROWS($A$12:A312), "")</f>
        <v/>
      </c>
      <c r="B135" s="57"/>
      <c r="C135" s="57"/>
      <c r="D135" s="58"/>
      <c r="E135" s="59"/>
      <c r="F135" s="57"/>
      <c r="G135" s="62"/>
      <c r="H135" s="67"/>
      <c r="I135" s="57"/>
      <c r="J135" s="57"/>
      <c r="K135" s="57"/>
      <c r="L135" s="57"/>
      <c r="M135" s="95">
        <f>الجدول2[[#This Row],[سعر البيع]]-الجدول2[[#This Row],[ المستلم من العميل]]</f>
        <v>0</v>
      </c>
      <c r="N135" s="57"/>
      <c r="O135" s="95">
        <f>الجدول2[[#This Row],[سعرالشراء]]-N135</f>
        <v>0</v>
      </c>
      <c r="P135" s="118">
        <f>الجدول2[[#This Row],[سعر البيع]]-الجدول2[[#This Row],[سعرالشراء]]</f>
        <v>0</v>
      </c>
    </row>
    <row r="136" spans="1:16" ht="31.5" customHeight="1" thickTop="1" thickBot="1" x14ac:dyDescent="0.35">
      <c r="A136" s="123" t="str">
        <f>IF(B136&lt;&gt;"", ROWS($A$12:A312), "")</f>
        <v/>
      </c>
      <c r="B136" s="57"/>
      <c r="C136" s="57"/>
      <c r="D136" s="58"/>
      <c r="E136" s="59"/>
      <c r="F136" s="57"/>
      <c r="G136" s="62"/>
      <c r="H136" s="67"/>
      <c r="I136" s="57"/>
      <c r="J136" s="57"/>
      <c r="K136" s="57"/>
      <c r="L136" s="57"/>
      <c r="M136" s="95">
        <f>الجدول2[[#This Row],[سعر البيع]]-الجدول2[[#This Row],[ المستلم من العميل]]</f>
        <v>0</v>
      </c>
      <c r="N136" s="57"/>
      <c r="O136" s="95">
        <f>الجدول2[[#This Row],[سعرالشراء]]-N136</f>
        <v>0</v>
      </c>
      <c r="P136" s="118">
        <f>الجدول2[[#This Row],[سعر البيع]]-الجدول2[[#This Row],[سعرالشراء]]</f>
        <v>0</v>
      </c>
    </row>
    <row r="137" spans="1:16" ht="31.5" customHeight="1" thickTop="1" thickBot="1" x14ac:dyDescent="0.35">
      <c r="A137" s="123" t="str">
        <f>IF(B137&lt;&gt;"", ROWS($A$12:A312), "")</f>
        <v/>
      </c>
      <c r="B137" s="57"/>
      <c r="C137" s="57"/>
      <c r="D137" s="58"/>
      <c r="E137" s="59"/>
      <c r="F137" s="57"/>
      <c r="G137" s="62"/>
      <c r="H137" s="67"/>
      <c r="I137" s="57"/>
      <c r="J137" s="57"/>
      <c r="K137" s="57"/>
      <c r="L137" s="57"/>
      <c r="M137" s="95">
        <f>الجدول2[[#This Row],[سعر البيع]]-الجدول2[[#This Row],[ المستلم من العميل]]</f>
        <v>0</v>
      </c>
      <c r="N137" s="57"/>
      <c r="O137" s="95">
        <f>الجدول2[[#This Row],[سعرالشراء]]-N137</f>
        <v>0</v>
      </c>
      <c r="P137" s="118">
        <f>الجدول2[[#This Row],[سعر البيع]]-الجدول2[[#This Row],[سعرالشراء]]</f>
        <v>0</v>
      </c>
    </row>
    <row r="138" spans="1:16" ht="31.5" customHeight="1" thickTop="1" thickBot="1" x14ac:dyDescent="0.35">
      <c r="A138" s="123" t="str">
        <f>IF(B138&lt;&gt;"", ROWS($A$12:A312), "")</f>
        <v/>
      </c>
      <c r="B138" s="57"/>
      <c r="C138" s="57"/>
      <c r="D138" s="58"/>
      <c r="E138" s="59"/>
      <c r="F138" s="57"/>
      <c r="G138" s="62"/>
      <c r="H138" s="67"/>
      <c r="I138" s="57"/>
      <c r="J138" s="57"/>
      <c r="K138" s="57"/>
      <c r="L138" s="57"/>
      <c r="M138" s="95">
        <f>الجدول2[[#This Row],[سعر البيع]]-الجدول2[[#This Row],[ المستلم من العميل]]</f>
        <v>0</v>
      </c>
      <c r="N138" s="57"/>
      <c r="O138" s="95">
        <f>الجدول2[[#This Row],[سعرالشراء]]-N138</f>
        <v>0</v>
      </c>
      <c r="P138" s="118">
        <f>الجدول2[[#This Row],[سعر البيع]]-الجدول2[[#This Row],[سعرالشراء]]</f>
        <v>0</v>
      </c>
    </row>
    <row r="139" spans="1:16" ht="31.5" customHeight="1" thickTop="1" thickBot="1" x14ac:dyDescent="0.35">
      <c r="A139" s="123" t="str">
        <f>IF(B139&lt;&gt;"", ROWS($A$12:A312), "")</f>
        <v/>
      </c>
      <c r="B139" s="57"/>
      <c r="C139" s="57"/>
      <c r="D139" s="58"/>
      <c r="E139" s="59"/>
      <c r="F139" s="57"/>
      <c r="G139" s="62"/>
      <c r="H139" s="67"/>
      <c r="I139" s="57"/>
      <c r="J139" s="57"/>
      <c r="K139" s="57"/>
      <c r="L139" s="57"/>
      <c r="M139" s="95">
        <f>الجدول2[[#This Row],[سعر البيع]]-الجدول2[[#This Row],[ المستلم من العميل]]</f>
        <v>0</v>
      </c>
      <c r="N139" s="57"/>
      <c r="O139" s="95">
        <f>الجدول2[[#This Row],[سعرالشراء]]-N139</f>
        <v>0</v>
      </c>
      <c r="P139" s="118">
        <f>الجدول2[[#This Row],[سعر البيع]]-الجدول2[[#This Row],[سعرالشراء]]</f>
        <v>0</v>
      </c>
    </row>
    <row r="140" spans="1:16" ht="31.5" customHeight="1" thickTop="1" thickBot="1" x14ac:dyDescent="0.35">
      <c r="A140" s="123" t="str">
        <f>IF(B140&lt;&gt;"", ROWS($A$12:A312), "")</f>
        <v/>
      </c>
      <c r="B140" s="57"/>
      <c r="C140" s="57"/>
      <c r="D140" s="58"/>
      <c r="E140" s="59"/>
      <c r="F140" s="57"/>
      <c r="G140" s="62"/>
      <c r="H140" s="67"/>
      <c r="I140" s="57"/>
      <c r="J140" s="57"/>
      <c r="K140" s="57"/>
      <c r="L140" s="57"/>
      <c r="M140" s="95">
        <f>الجدول2[[#This Row],[سعر البيع]]-الجدول2[[#This Row],[ المستلم من العميل]]</f>
        <v>0</v>
      </c>
      <c r="N140" s="57"/>
      <c r="O140" s="95">
        <f>الجدول2[[#This Row],[سعرالشراء]]-N140</f>
        <v>0</v>
      </c>
      <c r="P140" s="118">
        <f>الجدول2[[#This Row],[سعر البيع]]-الجدول2[[#This Row],[سعرالشراء]]</f>
        <v>0</v>
      </c>
    </row>
    <row r="141" spans="1:16" ht="31.5" customHeight="1" thickTop="1" thickBot="1" x14ac:dyDescent="0.35">
      <c r="A141" s="123" t="str">
        <f>IF(B141&lt;&gt;"", ROWS($A$12:A312), "")</f>
        <v/>
      </c>
      <c r="B141" s="57"/>
      <c r="C141" s="57"/>
      <c r="D141" s="58"/>
      <c r="E141" s="59"/>
      <c r="F141" s="57"/>
      <c r="G141" s="62"/>
      <c r="H141" s="67"/>
      <c r="I141" s="57"/>
      <c r="J141" s="57"/>
      <c r="K141" s="57"/>
      <c r="L141" s="57"/>
      <c r="M141" s="95">
        <f>الجدول2[[#This Row],[سعر البيع]]-الجدول2[[#This Row],[ المستلم من العميل]]</f>
        <v>0</v>
      </c>
      <c r="N141" s="57"/>
      <c r="O141" s="95">
        <f>الجدول2[[#This Row],[سعرالشراء]]-N141</f>
        <v>0</v>
      </c>
      <c r="P141" s="118">
        <f>الجدول2[[#This Row],[سعر البيع]]-الجدول2[[#This Row],[سعرالشراء]]</f>
        <v>0</v>
      </c>
    </row>
    <row r="142" spans="1:16" ht="31.5" customHeight="1" thickTop="1" thickBot="1" x14ac:dyDescent="0.35">
      <c r="A142" s="123" t="str">
        <f>IF(B142&lt;&gt;"", ROWS($A$12:A312), "")</f>
        <v/>
      </c>
      <c r="B142" s="57"/>
      <c r="C142" s="57"/>
      <c r="D142" s="58"/>
      <c r="E142" s="59"/>
      <c r="F142" s="57"/>
      <c r="G142" s="62"/>
      <c r="H142" s="67"/>
      <c r="I142" s="57"/>
      <c r="J142" s="57"/>
      <c r="K142" s="57"/>
      <c r="L142" s="57"/>
      <c r="M142" s="95">
        <f>الجدول2[[#This Row],[سعر البيع]]-الجدول2[[#This Row],[ المستلم من العميل]]</f>
        <v>0</v>
      </c>
      <c r="N142" s="57"/>
      <c r="O142" s="95">
        <f>الجدول2[[#This Row],[سعرالشراء]]-N142</f>
        <v>0</v>
      </c>
      <c r="P142" s="118">
        <f>الجدول2[[#This Row],[سعر البيع]]-الجدول2[[#This Row],[سعرالشراء]]</f>
        <v>0</v>
      </c>
    </row>
    <row r="143" spans="1:16" ht="31.5" customHeight="1" thickTop="1" thickBot="1" x14ac:dyDescent="0.35">
      <c r="A143" s="123" t="str">
        <f>IF(B143&lt;&gt;"", ROWS($A$12:A312), "")</f>
        <v/>
      </c>
      <c r="B143" s="57"/>
      <c r="C143" s="57"/>
      <c r="D143" s="58"/>
      <c r="E143" s="59"/>
      <c r="F143" s="57"/>
      <c r="G143" s="62"/>
      <c r="H143" s="67"/>
      <c r="I143" s="57"/>
      <c r="J143" s="57"/>
      <c r="K143" s="57"/>
      <c r="L143" s="57"/>
      <c r="M143" s="95">
        <f>الجدول2[[#This Row],[سعر البيع]]-الجدول2[[#This Row],[ المستلم من العميل]]</f>
        <v>0</v>
      </c>
      <c r="N143" s="57"/>
      <c r="O143" s="95">
        <f>الجدول2[[#This Row],[سعرالشراء]]-N143</f>
        <v>0</v>
      </c>
      <c r="P143" s="118">
        <f>الجدول2[[#This Row],[سعر البيع]]-الجدول2[[#This Row],[سعرالشراء]]</f>
        <v>0</v>
      </c>
    </row>
    <row r="144" spans="1:16" ht="31.5" customHeight="1" thickTop="1" thickBot="1" x14ac:dyDescent="0.35">
      <c r="A144" s="123" t="str">
        <f>IF(B144&lt;&gt;"", ROWS($A$12:A312), "")</f>
        <v/>
      </c>
      <c r="B144" s="57"/>
      <c r="C144" s="57"/>
      <c r="D144" s="58"/>
      <c r="E144" s="59"/>
      <c r="F144" s="57"/>
      <c r="G144" s="62"/>
      <c r="H144" s="67"/>
      <c r="I144" s="57"/>
      <c r="J144" s="57"/>
      <c r="K144" s="57"/>
      <c r="L144" s="57"/>
      <c r="M144" s="95">
        <f>الجدول2[[#This Row],[سعر البيع]]-الجدول2[[#This Row],[ المستلم من العميل]]</f>
        <v>0</v>
      </c>
      <c r="N144" s="57"/>
      <c r="O144" s="95">
        <f>الجدول2[[#This Row],[سعرالشراء]]-N144</f>
        <v>0</v>
      </c>
      <c r="P144" s="118">
        <f>الجدول2[[#This Row],[سعر البيع]]-الجدول2[[#This Row],[سعرالشراء]]</f>
        <v>0</v>
      </c>
    </row>
    <row r="145" spans="1:16" ht="31.5" customHeight="1" thickTop="1" thickBot="1" x14ac:dyDescent="0.35">
      <c r="A145" s="123" t="str">
        <f>IF(B145&lt;&gt;"", ROWS($A$12:A312), "")</f>
        <v/>
      </c>
      <c r="B145" s="57"/>
      <c r="C145" s="57"/>
      <c r="D145" s="58"/>
      <c r="E145" s="59"/>
      <c r="F145" s="57"/>
      <c r="G145" s="62"/>
      <c r="H145" s="67"/>
      <c r="I145" s="57"/>
      <c r="J145" s="57"/>
      <c r="K145" s="57"/>
      <c r="L145" s="57"/>
      <c r="M145" s="95">
        <f>الجدول2[[#This Row],[سعر البيع]]-الجدول2[[#This Row],[ المستلم من العميل]]</f>
        <v>0</v>
      </c>
      <c r="N145" s="57"/>
      <c r="O145" s="95">
        <f>الجدول2[[#This Row],[سعرالشراء]]-N145</f>
        <v>0</v>
      </c>
      <c r="P145" s="118">
        <f>الجدول2[[#This Row],[سعر البيع]]-الجدول2[[#This Row],[سعرالشراء]]</f>
        <v>0</v>
      </c>
    </row>
    <row r="146" spans="1:16" ht="31.5" customHeight="1" thickTop="1" thickBot="1" x14ac:dyDescent="0.35">
      <c r="A146" s="123" t="str">
        <f>IF(B146&lt;&gt;"", ROWS($A$12:A312), "")</f>
        <v/>
      </c>
      <c r="B146" s="57"/>
      <c r="C146" s="57"/>
      <c r="D146" s="58"/>
      <c r="E146" s="59"/>
      <c r="F146" s="57"/>
      <c r="G146" s="62"/>
      <c r="H146" s="67"/>
      <c r="I146" s="57"/>
      <c r="J146" s="57"/>
      <c r="K146" s="57"/>
      <c r="L146" s="57"/>
      <c r="M146" s="95">
        <f>الجدول2[[#This Row],[سعر البيع]]-الجدول2[[#This Row],[ المستلم من العميل]]</f>
        <v>0</v>
      </c>
      <c r="N146" s="57"/>
      <c r="O146" s="95">
        <f>الجدول2[[#This Row],[سعرالشراء]]-N146</f>
        <v>0</v>
      </c>
      <c r="P146" s="118">
        <f>الجدول2[[#This Row],[سعر البيع]]-الجدول2[[#This Row],[سعرالشراء]]</f>
        <v>0</v>
      </c>
    </row>
    <row r="147" spans="1:16" ht="31.5" customHeight="1" thickTop="1" thickBot="1" x14ac:dyDescent="0.35">
      <c r="A147" s="123" t="str">
        <f>IF(B147&lt;&gt;"", ROWS($A$12:A312), "")</f>
        <v/>
      </c>
      <c r="B147" s="57"/>
      <c r="C147" s="57"/>
      <c r="D147" s="58"/>
      <c r="E147" s="59"/>
      <c r="F147" s="57"/>
      <c r="G147" s="62"/>
      <c r="H147" s="67"/>
      <c r="I147" s="57"/>
      <c r="J147" s="57"/>
      <c r="K147" s="57"/>
      <c r="L147" s="57"/>
      <c r="M147" s="95">
        <f>الجدول2[[#This Row],[سعر البيع]]-الجدول2[[#This Row],[ المستلم من العميل]]</f>
        <v>0</v>
      </c>
      <c r="N147" s="57"/>
      <c r="O147" s="95">
        <f>الجدول2[[#This Row],[سعرالشراء]]-N147</f>
        <v>0</v>
      </c>
      <c r="P147" s="118">
        <f>الجدول2[[#This Row],[سعر البيع]]-الجدول2[[#This Row],[سعرالشراء]]</f>
        <v>0</v>
      </c>
    </row>
    <row r="148" spans="1:16" ht="31.5" customHeight="1" thickTop="1" thickBot="1" x14ac:dyDescent="0.35">
      <c r="A148" s="123" t="str">
        <f>IF(B148&lt;&gt;"", ROWS($A$12:A312), "")</f>
        <v/>
      </c>
      <c r="B148" s="57"/>
      <c r="C148" s="57"/>
      <c r="D148" s="58"/>
      <c r="E148" s="59"/>
      <c r="F148" s="57"/>
      <c r="G148" s="62"/>
      <c r="H148" s="67"/>
      <c r="I148" s="57"/>
      <c r="J148" s="57"/>
      <c r="K148" s="57"/>
      <c r="L148" s="57"/>
      <c r="M148" s="95">
        <f>الجدول2[[#This Row],[سعر البيع]]-الجدول2[[#This Row],[ المستلم من العميل]]</f>
        <v>0</v>
      </c>
      <c r="N148" s="57"/>
      <c r="O148" s="95">
        <f>الجدول2[[#This Row],[سعرالشراء]]-N148</f>
        <v>0</v>
      </c>
      <c r="P148" s="118">
        <f>الجدول2[[#This Row],[سعر البيع]]-الجدول2[[#This Row],[سعرالشراء]]</f>
        <v>0</v>
      </c>
    </row>
    <row r="149" spans="1:16" ht="31.5" customHeight="1" thickTop="1" thickBot="1" x14ac:dyDescent="0.35">
      <c r="A149" s="123" t="str">
        <f>IF(B149&lt;&gt;"", ROWS($A$12:A312), "")</f>
        <v/>
      </c>
      <c r="B149" s="57"/>
      <c r="C149" s="57"/>
      <c r="D149" s="58"/>
      <c r="E149" s="59"/>
      <c r="F149" s="57"/>
      <c r="G149" s="62"/>
      <c r="H149" s="67"/>
      <c r="I149" s="57"/>
      <c r="J149" s="57"/>
      <c r="K149" s="57"/>
      <c r="L149" s="57"/>
      <c r="M149" s="95">
        <f>الجدول2[[#This Row],[سعر البيع]]-الجدول2[[#This Row],[ المستلم من العميل]]</f>
        <v>0</v>
      </c>
      <c r="N149" s="57"/>
      <c r="O149" s="95">
        <f>الجدول2[[#This Row],[سعرالشراء]]-N149</f>
        <v>0</v>
      </c>
      <c r="P149" s="118">
        <f>الجدول2[[#This Row],[سعر البيع]]-الجدول2[[#This Row],[سعرالشراء]]</f>
        <v>0</v>
      </c>
    </row>
    <row r="150" spans="1:16" ht="31.5" customHeight="1" thickTop="1" thickBot="1" x14ac:dyDescent="0.35">
      <c r="A150" s="123" t="str">
        <f>IF(B150&lt;&gt;"", ROWS($A$12:A312), "")</f>
        <v/>
      </c>
      <c r="B150" s="57"/>
      <c r="C150" s="57"/>
      <c r="D150" s="58"/>
      <c r="E150" s="59"/>
      <c r="F150" s="57"/>
      <c r="G150" s="62"/>
      <c r="H150" s="67"/>
      <c r="I150" s="57"/>
      <c r="J150" s="57"/>
      <c r="K150" s="57"/>
      <c r="L150" s="57"/>
      <c r="M150" s="95">
        <f>الجدول2[[#This Row],[سعر البيع]]-الجدول2[[#This Row],[ المستلم من العميل]]</f>
        <v>0</v>
      </c>
      <c r="N150" s="57"/>
      <c r="O150" s="95">
        <f>الجدول2[[#This Row],[سعرالشراء]]-N150</f>
        <v>0</v>
      </c>
      <c r="P150" s="118">
        <f>الجدول2[[#This Row],[سعر البيع]]-الجدول2[[#This Row],[سعرالشراء]]</f>
        <v>0</v>
      </c>
    </row>
    <row r="151" spans="1:16" ht="31.5" customHeight="1" thickTop="1" thickBot="1" x14ac:dyDescent="0.35">
      <c r="A151" s="123" t="str">
        <f>IF(B151&lt;&gt;"", ROWS($A$12:A312), "")</f>
        <v/>
      </c>
      <c r="B151" s="57"/>
      <c r="C151" s="57"/>
      <c r="D151" s="58"/>
      <c r="E151" s="59"/>
      <c r="F151" s="57"/>
      <c r="G151" s="62"/>
      <c r="H151" s="67"/>
      <c r="I151" s="57"/>
      <c r="J151" s="57"/>
      <c r="K151" s="57"/>
      <c r="L151" s="57"/>
      <c r="M151" s="95">
        <f>الجدول2[[#This Row],[سعر البيع]]-الجدول2[[#This Row],[ المستلم من العميل]]</f>
        <v>0</v>
      </c>
      <c r="N151" s="57"/>
      <c r="O151" s="95">
        <f>الجدول2[[#This Row],[سعرالشراء]]-N151</f>
        <v>0</v>
      </c>
      <c r="P151" s="118">
        <f>الجدول2[[#This Row],[سعر البيع]]-الجدول2[[#This Row],[سعرالشراء]]</f>
        <v>0</v>
      </c>
    </row>
    <row r="152" spans="1:16" ht="31.5" customHeight="1" thickTop="1" thickBot="1" x14ac:dyDescent="0.35">
      <c r="A152" s="123" t="str">
        <f>IF(B152&lt;&gt;"", ROWS($A$12:A312), "")</f>
        <v/>
      </c>
      <c r="B152" s="57"/>
      <c r="C152" s="57"/>
      <c r="D152" s="58"/>
      <c r="E152" s="59"/>
      <c r="F152" s="57"/>
      <c r="G152" s="62"/>
      <c r="H152" s="67"/>
      <c r="I152" s="57"/>
      <c r="J152" s="57"/>
      <c r="K152" s="57"/>
      <c r="L152" s="57"/>
      <c r="M152" s="95">
        <f>الجدول2[[#This Row],[سعر البيع]]-الجدول2[[#This Row],[ المستلم من العميل]]</f>
        <v>0</v>
      </c>
      <c r="N152" s="57"/>
      <c r="O152" s="95">
        <f>الجدول2[[#This Row],[سعرالشراء]]-N152</f>
        <v>0</v>
      </c>
      <c r="P152" s="118">
        <f>الجدول2[[#This Row],[سعر البيع]]-الجدول2[[#This Row],[سعرالشراء]]</f>
        <v>0</v>
      </c>
    </row>
    <row r="153" spans="1:16" ht="31.5" customHeight="1" thickTop="1" thickBot="1" x14ac:dyDescent="0.35">
      <c r="A153" s="123" t="str">
        <f>IF(B153&lt;&gt;"", ROWS($A$12:A312), "")</f>
        <v/>
      </c>
      <c r="B153" s="57"/>
      <c r="C153" s="57"/>
      <c r="D153" s="58"/>
      <c r="E153" s="59"/>
      <c r="F153" s="57"/>
      <c r="G153" s="62"/>
      <c r="H153" s="67"/>
      <c r="I153" s="57"/>
      <c r="J153" s="57"/>
      <c r="K153" s="57"/>
      <c r="L153" s="57"/>
      <c r="M153" s="95">
        <f>الجدول2[[#This Row],[سعر البيع]]-الجدول2[[#This Row],[ المستلم من العميل]]</f>
        <v>0</v>
      </c>
      <c r="N153" s="57"/>
      <c r="O153" s="95">
        <f>الجدول2[[#This Row],[سعرالشراء]]-N153</f>
        <v>0</v>
      </c>
      <c r="P153" s="118">
        <f>الجدول2[[#This Row],[سعر البيع]]-الجدول2[[#This Row],[سعرالشراء]]</f>
        <v>0</v>
      </c>
    </row>
    <row r="154" spans="1:16" ht="31.5" customHeight="1" thickTop="1" thickBot="1" x14ac:dyDescent="0.35">
      <c r="A154" s="123" t="str">
        <f>IF(B154&lt;&gt;"", ROWS($A$12:A312), "")</f>
        <v/>
      </c>
      <c r="B154" s="57"/>
      <c r="C154" s="57"/>
      <c r="D154" s="58"/>
      <c r="E154" s="59"/>
      <c r="F154" s="57"/>
      <c r="G154" s="62"/>
      <c r="H154" s="67"/>
      <c r="I154" s="57"/>
      <c r="J154" s="57"/>
      <c r="K154" s="57"/>
      <c r="L154" s="57"/>
      <c r="M154" s="95">
        <f>الجدول2[[#This Row],[سعر البيع]]-الجدول2[[#This Row],[ المستلم من العميل]]</f>
        <v>0</v>
      </c>
      <c r="N154" s="57"/>
      <c r="O154" s="95">
        <f>الجدول2[[#This Row],[سعرالشراء]]-N154</f>
        <v>0</v>
      </c>
      <c r="P154" s="118">
        <f>الجدول2[[#This Row],[سعر البيع]]-الجدول2[[#This Row],[سعرالشراء]]</f>
        <v>0</v>
      </c>
    </row>
    <row r="155" spans="1:16" ht="31.5" customHeight="1" thickTop="1" thickBot="1" x14ac:dyDescent="0.35">
      <c r="A155" s="123" t="str">
        <f>IF(B155&lt;&gt;"", ROWS($A$12:A312), "")</f>
        <v/>
      </c>
      <c r="B155" s="57"/>
      <c r="C155" s="57"/>
      <c r="D155" s="58"/>
      <c r="E155" s="59"/>
      <c r="F155" s="57"/>
      <c r="G155" s="62"/>
      <c r="H155" s="67"/>
      <c r="I155" s="57"/>
      <c r="J155" s="57"/>
      <c r="K155" s="57"/>
      <c r="L155" s="57"/>
      <c r="M155" s="95">
        <f>الجدول2[[#This Row],[سعر البيع]]-الجدول2[[#This Row],[ المستلم من العميل]]</f>
        <v>0</v>
      </c>
      <c r="N155" s="57"/>
      <c r="O155" s="95">
        <f>الجدول2[[#This Row],[سعرالشراء]]-N155</f>
        <v>0</v>
      </c>
      <c r="P155" s="118">
        <f>الجدول2[[#This Row],[سعر البيع]]-الجدول2[[#This Row],[سعرالشراء]]</f>
        <v>0</v>
      </c>
    </row>
    <row r="156" spans="1:16" ht="31.5" customHeight="1" thickTop="1" thickBot="1" x14ac:dyDescent="0.35">
      <c r="A156" s="123" t="str">
        <f>IF(B156&lt;&gt;"", ROWS($A$12:A312), "")</f>
        <v/>
      </c>
      <c r="B156" s="57"/>
      <c r="C156" s="57"/>
      <c r="D156" s="58"/>
      <c r="E156" s="59"/>
      <c r="F156" s="57"/>
      <c r="G156" s="62"/>
      <c r="H156" s="67"/>
      <c r="I156" s="57"/>
      <c r="J156" s="57"/>
      <c r="K156" s="57"/>
      <c r="L156" s="57"/>
      <c r="M156" s="95">
        <f>الجدول2[[#This Row],[سعر البيع]]-الجدول2[[#This Row],[ المستلم من العميل]]</f>
        <v>0</v>
      </c>
      <c r="N156" s="57"/>
      <c r="O156" s="95">
        <f>الجدول2[[#This Row],[سعرالشراء]]-N156</f>
        <v>0</v>
      </c>
      <c r="P156" s="118">
        <f>الجدول2[[#This Row],[سعر البيع]]-الجدول2[[#This Row],[سعرالشراء]]</f>
        <v>0</v>
      </c>
    </row>
    <row r="157" spans="1:16" ht="31.5" customHeight="1" thickTop="1" thickBot="1" x14ac:dyDescent="0.35">
      <c r="A157" s="123" t="str">
        <f>IF(B157&lt;&gt;"", ROWS($A$12:A312), "")</f>
        <v/>
      </c>
      <c r="B157" s="57"/>
      <c r="C157" s="57"/>
      <c r="D157" s="58"/>
      <c r="E157" s="59"/>
      <c r="F157" s="57"/>
      <c r="G157" s="62"/>
      <c r="H157" s="67"/>
      <c r="I157" s="57"/>
      <c r="J157" s="57"/>
      <c r="K157" s="57"/>
      <c r="L157" s="57"/>
      <c r="M157" s="95">
        <f>الجدول2[[#This Row],[سعر البيع]]-الجدول2[[#This Row],[ المستلم من العميل]]</f>
        <v>0</v>
      </c>
      <c r="N157" s="57"/>
      <c r="O157" s="95">
        <f>الجدول2[[#This Row],[سعرالشراء]]-N157</f>
        <v>0</v>
      </c>
      <c r="P157" s="118">
        <f>الجدول2[[#This Row],[سعر البيع]]-الجدول2[[#This Row],[سعرالشراء]]</f>
        <v>0</v>
      </c>
    </row>
    <row r="158" spans="1:16" ht="31.5" customHeight="1" thickTop="1" thickBot="1" x14ac:dyDescent="0.35">
      <c r="A158" s="123" t="str">
        <f>IF(B158&lt;&gt;"", ROWS($A$12:A312), "")</f>
        <v/>
      </c>
      <c r="B158" s="57"/>
      <c r="C158" s="57"/>
      <c r="D158" s="58"/>
      <c r="E158" s="59"/>
      <c r="F158" s="57"/>
      <c r="G158" s="62"/>
      <c r="H158" s="67"/>
      <c r="I158" s="57"/>
      <c r="J158" s="57"/>
      <c r="K158" s="57"/>
      <c r="L158" s="57"/>
      <c r="M158" s="95">
        <f>الجدول2[[#This Row],[سعر البيع]]-الجدول2[[#This Row],[ المستلم من العميل]]</f>
        <v>0</v>
      </c>
      <c r="N158" s="57"/>
      <c r="O158" s="95">
        <f>الجدول2[[#This Row],[سعرالشراء]]-N158</f>
        <v>0</v>
      </c>
      <c r="P158" s="118">
        <f>الجدول2[[#This Row],[سعر البيع]]-الجدول2[[#This Row],[سعرالشراء]]</f>
        <v>0</v>
      </c>
    </row>
    <row r="159" spans="1:16" ht="31.5" customHeight="1" thickTop="1" thickBot="1" x14ac:dyDescent="0.35">
      <c r="A159" s="123" t="str">
        <f>IF(B159&lt;&gt;"", ROWS($A$12:A312), "")</f>
        <v/>
      </c>
      <c r="B159" s="57"/>
      <c r="C159" s="57"/>
      <c r="D159" s="58"/>
      <c r="E159" s="59"/>
      <c r="F159" s="57"/>
      <c r="G159" s="62"/>
      <c r="H159" s="67"/>
      <c r="I159" s="57"/>
      <c r="J159" s="57"/>
      <c r="K159" s="57"/>
      <c r="L159" s="57"/>
      <c r="M159" s="95">
        <f>الجدول2[[#This Row],[سعر البيع]]-الجدول2[[#This Row],[ المستلم من العميل]]</f>
        <v>0</v>
      </c>
      <c r="N159" s="57"/>
      <c r="O159" s="95">
        <f>الجدول2[[#This Row],[سعرالشراء]]-N159</f>
        <v>0</v>
      </c>
      <c r="P159" s="118">
        <f>الجدول2[[#This Row],[سعر البيع]]-الجدول2[[#This Row],[سعرالشراء]]</f>
        <v>0</v>
      </c>
    </row>
    <row r="160" spans="1:16" ht="31.5" customHeight="1" thickTop="1" thickBot="1" x14ac:dyDescent="0.35">
      <c r="A160" s="123" t="str">
        <f>IF(B160&lt;&gt;"", ROWS($A$12:A312), "")</f>
        <v/>
      </c>
      <c r="B160" s="57"/>
      <c r="C160" s="57"/>
      <c r="D160" s="58"/>
      <c r="E160" s="59"/>
      <c r="F160" s="57"/>
      <c r="G160" s="62"/>
      <c r="H160" s="67"/>
      <c r="I160" s="57"/>
      <c r="J160" s="57"/>
      <c r="K160" s="57"/>
      <c r="L160" s="57"/>
      <c r="M160" s="95">
        <f>الجدول2[[#This Row],[سعر البيع]]-الجدول2[[#This Row],[ المستلم من العميل]]</f>
        <v>0</v>
      </c>
      <c r="N160" s="57"/>
      <c r="O160" s="95">
        <f>الجدول2[[#This Row],[سعرالشراء]]-N160</f>
        <v>0</v>
      </c>
      <c r="P160" s="118">
        <f>الجدول2[[#This Row],[سعر البيع]]-الجدول2[[#This Row],[سعرالشراء]]</f>
        <v>0</v>
      </c>
    </row>
    <row r="161" spans="1:16" ht="31.5" customHeight="1" thickTop="1" thickBot="1" x14ac:dyDescent="0.35">
      <c r="A161" s="123" t="str">
        <f>IF(B161&lt;&gt;"", ROWS($A$12:A312), "")</f>
        <v/>
      </c>
      <c r="B161" s="57"/>
      <c r="C161" s="57"/>
      <c r="D161" s="58"/>
      <c r="E161" s="59"/>
      <c r="F161" s="57"/>
      <c r="G161" s="62"/>
      <c r="H161" s="67"/>
      <c r="I161" s="57"/>
      <c r="J161" s="57"/>
      <c r="K161" s="57"/>
      <c r="L161" s="57"/>
      <c r="M161" s="95">
        <f>الجدول2[[#This Row],[سعر البيع]]-الجدول2[[#This Row],[ المستلم من العميل]]</f>
        <v>0</v>
      </c>
      <c r="N161" s="57"/>
      <c r="O161" s="95">
        <f>الجدول2[[#This Row],[سعرالشراء]]-N161</f>
        <v>0</v>
      </c>
      <c r="P161" s="118">
        <f>الجدول2[[#This Row],[سعر البيع]]-الجدول2[[#This Row],[سعرالشراء]]</f>
        <v>0</v>
      </c>
    </row>
    <row r="162" spans="1:16" ht="31.5" customHeight="1" thickTop="1" thickBot="1" x14ac:dyDescent="0.35">
      <c r="A162" s="123" t="str">
        <f>IF(B162&lt;&gt;"", ROWS($A$12:A312), "")</f>
        <v/>
      </c>
      <c r="B162" s="57"/>
      <c r="C162" s="57"/>
      <c r="D162" s="58"/>
      <c r="E162" s="59"/>
      <c r="F162" s="57"/>
      <c r="G162" s="62"/>
      <c r="H162" s="67"/>
      <c r="I162" s="57"/>
      <c r="J162" s="57"/>
      <c r="K162" s="57"/>
      <c r="L162" s="57"/>
      <c r="M162" s="95">
        <f>الجدول2[[#This Row],[سعر البيع]]-الجدول2[[#This Row],[ المستلم من العميل]]</f>
        <v>0</v>
      </c>
      <c r="N162" s="57"/>
      <c r="O162" s="95">
        <f>الجدول2[[#This Row],[سعرالشراء]]-N162</f>
        <v>0</v>
      </c>
      <c r="P162" s="118">
        <f>الجدول2[[#This Row],[سعر البيع]]-الجدول2[[#This Row],[سعرالشراء]]</f>
        <v>0</v>
      </c>
    </row>
    <row r="163" spans="1:16" ht="31.5" customHeight="1" thickTop="1" thickBot="1" x14ac:dyDescent="0.35">
      <c r="A163" s="123" t="str">
        <f>IF(B163&lt;&gt;"", ROWS($A$12:A312), "")</f>
        <v/>
      </c>
      <c r="B163" s="57"/>
      <c r="C163" s="57"/>
      <c r="D163" s="58"/>
      <c r="E163" s="59"/>
      <c r="F163" s="57"/>
      <c r="G163" s="62"/>
      <c r="H163" s="67"/>
      <c r="I163" s="57"/>
      <c r="J163" s="57"/>
      <c r="K163" s="57"/>
      <c r="L163" s="57"/>
      <c r="M163" s="95">
        <f>الجدول2[[#This Row],[سعر البيع]]-الجدول2[[#This Row],[ المستلم من العميل]]</f>
        <v>0</v>
      </c>
      <c r="N163" s="57"/>
      <c r="O163" s="95">
        <f>الجدول2[[#This Row],[سعرالشراء]]-N163</f>
        <v>0</v>
      </c>
      <c r="P163" s="118">
        <f>الجدول2[[#This Row],[سعر البيع]]-الجدول2[[#This Row],[سعرالشراء]]</f>
        <v>0</v>
      </c>
    </row>
    <row r="164" spans="1:16" ht="31.5" customHeight="1" thickTop="1" thickBot="1" x14ac:dyDescent="0.35">
      <c r="A164" s="123" t="str">
        <f>IF(B164&lt;&gt;"", ROWS($A$12:A312), "")</f>
        <v/>
      </c>
      <c r="B164" s="57"/>
      <c r="C164" s="57"/>
      <c r="D164" s="58"/>
      <c r="E164" s="59"/>
      <c r="F164" s="57"/>
      <c r="G164" s="62"/>
      <c r="H164" s="67"/>
      <c r="I164" s="57"/>
      <c r="J164" s="57"/>
      <c r="K164" s="57"/>
      <c r="L164" s="57"/>
      <c r="M164" s="95">
        <f>الجدول2[[#This Row],[سعر البيع]]-الجدول2[[#This Row],[ المستلم من العميل]]</f>
        <v>0</v>
      </c>
      <c r="N164" s="57"/>
      <c r="O164" s="95">
        <f>الجدول2[[#This Row],[سعرالشراء]]-N164</f>
        <v>0</v>
      </c>
      <c r="P164" s="118">
        <f>الجدول2[[#This Row],[سعر البيع]]-الجدول2[[#This Row],[سعرالشراء]]</f>
        <v>0</v>
      </c>
    </row>
    <row r="165" spans="1:16" ht="31.5" customHeight="1" thickTop="1" thickBot="1" x14ac:dyDescent="0.35">
      <c r="A165" s="123" t="str">
        <f>IF(B165&lt;&gt;"", ROWS($A$12:A312), "")</f>
        <v/>
      </c>
      <c r="B165" s="57"/>
      <c r="C165" s="57"/>
      <c r="D165" s="58"/>
      <c r="E165" s="59"/>
      <c r="F165" s="57"/>
      <c r="G165" s="62"/>
      <c r="H165" s="67"/>
      <c r="I165" s="57"/>
      <c r="J165" s="57"/>
      <c r="K165" s="57"/>
      <c r="L165" s="57"/>
      <c r="M165" s="95">
        <f>الجدول2[[#This Row],[سعر البيع]]-الجدول2[[#This Row],[ المستلم من العميل]]</f>
        <v>0</v>
      </c>
      <c r="N165" s="57"/>
      <c r="O165" s="95">
        <f>الجدول2[[#This Row],[سعرالشراء]]-N165</f>
        <v>0</v>
      </c>
      <c r="P165" s="118">
        <f>الجدول2[[#This Row],[سعر البيع]]-الجدول2[[#This Row],[سعرالشراء]]</f>
        <v>0</v>
      </c>
    </row>
    <row r="166" spans="1:16" ht="31.5" customHeight="1" thickTop="1" thickBot="1" x14ac:dyDescent="0.35">
      <c r="A166" s="123" t="str">
        <f>IF(B166&lt;&gt;"", ROWS($A$12:A312), "")</f>
        <v/>
      </c>
      <c r="B166" s="57"/>
      <c r="C166" s="57"/>
      <c r="D166" s="58"/>
      <c r="E166" s="59"/>
      <c r="F166" s="57"/>
      <c r="G166" s="62"/>
      <c r="H166" s="67"/>
      <c r="I166" s="57"/>
      <c r="J166" s="57"/>
      <c r="K166" s="57"/>
      <c r="L166" s="57"/>
      <c r="M166" s="95">
        <f>الجدول2[[#This Row],[سعر البيع]]-الجدول2[[#This Row],[ المستلم من العميل]]</f>
        <v>0</v>
      </c>
      <c r="N166" s="57"/>
      <c r="O166" s="95">
        <f>الجدول2[[#This Row],[سعرالشراء]]-N166</f>
        <v>0</v>
      </c>
      <c r="P166" s="118">
        <f>الجدول2[[#This Row],[سعر البيع]]-الجدول2[[#This Row],[سعرالشراء]]</f>
        <v>0</v>
      </c>
    </row>
    <row r="167" spans="1:16" ht="31.5" customHeight="1" thickTop="1" thickBot="1" x14ac:dyDescent="0.35">
      <c r="A167" s="123" t="str">
        <f>IF(B167&lt;&gt;"", ROWS($A$12:A312), "")</f>
        <v/>
      </c>
      <c r="B167" s="57"/>
      <c r="C167" s="57"/>
      <c r="D167" s="58"/>
      <c r="E167" s="59"/>
      <c r="F167" s="57"/>
      <c r="G167" s="62"/>
      <c r="H167" s="67"/>
      <c r="I167" s="57"/>
      <c r="J167" s="57"/>
      <c r="K167" s="57"/>
      <c r="L167" s="57"/>
      <c r="M167" s="95">
        <f>الجدول2[[#This Row],[سعر البيع]]-الجدول2[[#This Row],[ المستلم من العميل]]</f>
        <v>0</v>
      </c>
      <c r="N167" s="57"/>
      <c r="O167" s="95">
        <f>الجدول2[[#This Row],[سعرالشراء]]-N167</f>
        <v>0</v>
      </c>
      <c r="P167" s="118">
        <f>الجدول2[[#This Row],[سعر البيع]]-الجدول2[[#This Row],[سعرالشراء]]</f>
        <v>0</v>
      </c>
    </row>
    <row r="168" spans="1:16" ht="31.5" customHeight="1" thickTop="1" thickBot="1" x14ac:dyDescent="0.35">
      <c r="A168" s="123" t="str">
        <f>IF(B168&lt;&gt;"", ROWS($A$12:A312), "")</f>
        <v/>
      </c>
      <c r="B168" s="57"/>
      <c r="C168" s="57"/>
      <c r="D168" s="58"/>
      <c r="E168" s="59"/>
      <c r="F168" s="57"/>
      <c r="G168" s="62"/>
      <c r="H168" s="67"/>
      <c r="I168" s="57"/>
      <c r="J168" s="57"/>
      <c r="K168" s="57"/>
      <c r="L168" s="57"/>
      <c r="M168" s="95">
        <f>الجدول2[[#This Row],[سعر البيع]]-الجدول2[[#This Row],[ المستلم من العميل]]</f>
        <v>0</v>
      </c>
      <c r="N168" s="57"/>
      <c r="O168" s="95">
        <f>الجدول2[[#This Row],[سعرالشراء]]-N168</f>
        <v>0</v>
      </c>
      <c r="P168" s="118">
        <f>الجدول2[[#This Row],[سعر البيع]]-الجدول2[[#This Row],[سعرالشراء]]</f>
        <v>0</v>
      </c>
    </row>
    <row r="169" spans="1:16" ht="31.5" customHeight="1" thickTop="1" thickBot="1" x14ac:dyDescent="0.35">
      <c r="A169" s="123" t="str">
        <f>IF(B169&lt;&gt;"", ROWS($A$12:A312), "")</f>
        <v/>
      </c>
      <c r="B169" s="57"/>
      <c r="C169" s="57"/>
      <c r="D169" s="58"/>
      <c r="E169" s="59"/>
      <c r="F169" s="57"/>
      <c r="G169" s="62"/>
      <c r="H169" s="67"/>
      <c r="I169" s="57"/>
      <c r="J169" s="57"/>
      <c r="K169" s="57"/>
      <c r="L169" s="57"/>
      <c r="M169" s="95">
        <f>الجدول2[[#This Row],[سعر البيع]]-الجدول2[[#This Row],[ المستلم من العميل]]</f>
        <v>0</v>
      </c>
      <c r="N169" s="57"/>
      <c r="O169" s="95">
        <f>الجدول2[[#This Row],[سعرالشراء]]-N169</f>
        <v>0</v>
      </c>
      <c r="P169" s="118">
        <f>الجدول2[[#This Row],[سعر البيع]]-الجدول2[[#This Row],[سعرالشراء]]</f>
        <v>0</v>
      </c>
    </row>
    <row r="170" spans="1:16" ht="31.5" customHeight="1" thickTop="1" thickBot="1" x14ac:dyDescent="0.35">
      <c r="A170" s="123" t="str">
        <f>IF(B170&lt;&gt;"", ROWS($A$12:A312), "")</f>
        <v/>
      </c>
      <c r="B170" s="57"/>
      <c r="C170" s="57"/>
      <c r="D170" s="58"/>
      <c r="E170" s="59"/>
      <c r="F170" s="57"/>
      <c r="G170" s="62"/>
      <c r="H170" s="67"/>
      <c r="I170" s="57"/>
      <c r="J170" s="57"/>
      <c r="K170" s="57"/>
      <c r="L170" s="57"/>
      <c r="M170" s="95">
        <f>الجدول2[[#This Row],[سعر البيع]]-الجدول2[[#This Row],[ المستلم من العميل]]</f>
        <v>0</v>
      </c>
      <c r="N170" s="57"/>
      <c r="O170" s="95">
        <f>الجدول2[[#This Row],[سعرالشراء]]-N170</f>
        <v>0</v>
      </c>
      <c r="P170" s="118">
        <f>الجدول2[[#This Row],[سعر البيع]]-الجدول2[[#This Row],[سعرالشراء]]</f>
        <v>0</v>
      </c>
    </row>
    <row r="171" spans="1:16" ht="31.5" customHeight="1" thickTop="1" thickBot="1" x14ac:dyDescent="0.35">
      <c r="A171" s="123" t="str">
        <f>IF(B171&lt;&gt;"", ROWS($A$12:A312), "")</f>
        <v/>
      </c>
      <c r="B171" s="57"/>
      <c r="C171" s="57"/>
      <c r="D171" s="58"/>
      <c r="E171" s="59"/>
      <c r="F171" s="57"/>
      <c r="G171" s="62"/>
      <c r="H171" s="67"/>
      <c r="I171" s="57"/>
      <c r="J171" s="57"/>
      <c r="K171" s="57"/>
      <c r="L171" s="57"/>
      <c r="M171" s="95">
        <f>الجدول2[[#This Row],[سعر البيع]]-الجدول2[[#This Row],[ المستلم من العميل]]</f>
        <v>0</v>
      </c>
      <c r="N171" s="57"/>
      <c r="O171" s="95">
        <f>الجدول2[[#This Row],[سعرالشراء]]-N171</f>
        <v>0</v>
      </c>
      <c r="P171" s="118">
        <f>الجدول2[[#This Row],[سعر البيع]]-الجدول2[[#This Row],[سعرالشراء]]</f>
        <v>0</v>
      </c>
    </row>
    <row r="172" spans="1:16" ht="31.5" customHeight="1" thickTop="1" thickBot="1" x14ac:dyDescent="0.35">
      <c r="A172" s="123" t="str">
        <f>IF(B172&lt;&gt;"", ROWS($A$12:A312), "")</f>
        <v/>
      </c>
      <c r="B172" s="57"/>
      <c r="C172" s="57"/>
      <c r="D172" s="58"/>
      <c r="E172" s="59"/>
      <c r="F172" s="57"/>
      <c r="G172" s="62"/>
      <c r="H172" s="67"/>
      <c r="I172" s="57"/>
      <c r="J172" s="57"/>
      <c r="K172" s="57"/>
      <c r="L172" s="57"/>
      <c r="M172" s="95">
        <f>الجدول2[[#This Row],[سعر البيع]]-الجدول2[[#This Row],[ المستلم من العميل]]</f>
        <v>0</v>
      </c>
      <c r="N172" s="57"/>
      <c r="O172" s="95">
        <f>الجدول2[[#This Row],[سعرالشراء]]-N172</f>
        <v>0</v>
      </c>
      <c r="P172" s="118">
        <f>الجدول2[[#This Row],[سعر البيع]]-الجدول2[[#This Row],[سعرالشراء]]</f>
        <v>0</v>
      </c>
    </row>
    <row r="173" spans="1:16" ht="31.5" customHeight="1" thickTop="1" thickBot="1" x14ac:dyDescent="0.35">
      <c r="A173" s="123" t="str">
        <f>IF(B173&lt;&gt;"", ROWS($A$12:A312), "")</f>
        <v/>
      </c>
      <c r="B173" s="57"/>
      <c r="C173" s="57"/>
      <c r="D173" s="58"/>
      <c r="E173" s="59"/>
      <c r="F173" s="57"/>
      <c r="G173" s="62"/>
      <c r="H173" s="67"/>
      <c r="I173" s="57"/>
      <c r="J173" s="57"/>
      <c r="K173" s="57"/>
      <c r="L173" s="57"/>
      <c r="M173" s="95">
        <f>الجدول2[[#This Row],[سعر البيع]]-الجدول2[[#This Row],[ المستلم من العميل]]</f>
        <v>0</v>
      </c>
      <c r="N173" s="57"/>
      <c r="O173" s="95">
        <f>الجدول2[[#This Row],[سعرالشراء]]-N173</f>
        <v>0</v>
      </c>
      <c r="P173" s="118">
        <f>الجدول2[[#This Row],[سعر البيع]]-الجدول2[[#This Row],[سعرالشراء]]</f>
        <v>0</v>
      </c>
    </row>
    <row r="174" spans="1:16" ht="31.5" customHeight="1" thickTop="1" thickBot="1" x14ac:dyDescent="0.35">
      <c r="A174" s="123" t="str">
        <f>IF(B174&lt;&gt;"", ROWS($A$12:A312), "")</f>
        <v/>
      </c>
      <c r="B174" s="57"/>
      <c r="C174" s="57"/>
      <c r="D174" s="58"/>
      <c r="E174" s="59"/>
      <c r="F174" s="57"/>
      <c r="G174" s="62"/>
      <c r="H174" s="67"/>
      <c r="I174" s="57"/>
      <c r="J174" s="57"/>
      <c r="K174" s="57"/>
      <c r="L174" s="57"/>
      <c r="M174" s="95">
        <f>الجدول2[[#This Row],[سعر البيع]]-الجدول2[[#This Row],[ المستلم من العميل]]</f>
        <v>0</v>
      </c>
      <c r="N174" s="57"/>
      <c r="O174" s="95">
        <f>الجدول2[[#This Row],[سعرالشراء]]-N174</f>
        <v>0</v>
      </c>
      <c r="P174" s="118">
        <f>الجدول2[[#This Row],[سعر البيع]]-الجدول2[[#This Row],[سعرالشراء]]</f>
        <v>0</v>
      </c>
    </row>
    <row r="175" spans="1:16" ht="31.5" customHeight="1" thickTop="1" thickBot="1" x14ac:dyDescent="0.35">
      <c r="A175" s="123" t="str">
        <f>IF(B175&lt;&gt;"", ROWS($A$12:A312), "")</f>
        <v/>
      </c>
      <c r="B175" s="57"/>
      <c r="C175" s="57"/>
      <c r="D175" s="58"/>
      <c r="E175" s="59"/>
      <c r="F175" s="57"/>
      <c r="G175" s="62"/>
      <c r="H175" s="67"/>
      <c r="I175" s="57"/>
      <c r="J175" s="57"/>
      <c r="K175" s="57"/>
      <c r="L175" s="57"/>
      <c r="M175" s="95">
        <f>الجدول2[[#This Row],[سعر البيع]]-الجدول2[[#This Row],[ المستلم من العميل]]</f>
        <v>0</v>
      </c>
      <c r="N175" s="57"/>
      <c r="O175" s="95">
        <f>الجدول2[[#This Row],[سعرالشراء]]-N175</f>
        <v>0</v>
      </c>
      <c r="P175" s="118">
        <f>الجدول2[[#This Row],[سعر البيع]]-الجدول2[[#This Row],[سعرالشراء]]</f>
        <v>0</v>
      </c>
    </row>
    <row r="176" spans="1:16" ht="31.5" customHeight="1" thickTop="1" thickBot="1" x14ac:dyDescent="0.35">
      <c r="A176" s="123" t="str">
        <f>IF(B176&lt;&gt;"", ROWS($A$12:A312), "")</f>
        <v/>
      </c>
      <c r="B176" s="57"/>
      <c r="C176" s="57"/>
      <c r="D176" s="58"/>
      <c r="E176" s="59"/>
      <c r="F176" s="57"/>
      <c r="G176" s="62"/>
      <c r="H176" s="67"/>
      <c r="I176" s="57"/>
      <c r="J176" s="57"/>
      <c r="K176" s="57"/>
      <c r="L176" s="57"/>
      <c r="M176" s="95">
        <f>الجدول2[[#This Row],[سعر البيع]]-الجدول2[[#This Row],[ المستلم من العميل]]</f>
        <v>0</v>
      </c>
      <c r="N176" s="57"/>
      <c r="O176" s="95">
        <f>الجدول2[[#This Row],[سعرالشراء]]-N176</f>
        <v>0</v>
      </c>
      <c r="P176" s="118">
        <f>الجدول2[[#This Row],[سعر البيع]]-الجدول2[[#This Row],[سعرالشراء]]</f>
        <v>0</v>
      </c>
    </row>
    <row r="177" spans="1:16" ht="31.5" customHeight="1" thickTop="1" thickBot="1" x14ac:dyDescent="0.35">
      <c r="A177" s="123" t="str">
        <f>IF(B177&lt;&gt;"", ROWS($A$12:A312), "")</f>
        <v/>
      </c>
      <c r="B177" s="57"/>
      <c r="C177" s="57"/>
      <c r="D177" s="58"/>
      <c r="E177" s="59"/>
      <c r="F177" s="57"/>
      <c r="G177" s="62"/>
      <c r="H177" s="67"/>
      <c r="I177" s="57"/>
      <c r="J177" s="57"/>
      <c r="K177" s="57"/>
      <c r="L177" s="57"/>
      <c r="M177" s="95">
        <f>الجدول2[[#This Row],[سعر البيع]]-الجدول2[[#This Row],[ المستلم من العميل]]</f>
        <v>0</v>
      </c>
      <c r="N177" s="57"/>
      <c r="O177" s="95">
        <f>الجدول2[[#This Row],[سعرالشراء]]-N177</f>
        <v>0</v>
      </c>
      <c r="P177" s="118">
        <f>الجدول2[[#This Row],[سعر البيع]]-الجدول2[[#This Row],[سعرالشراء]]</f>
        <v>0</v>
      </c>
    </row>
    <row r="178" spans="1:16" ht="31.5" customHeight="1" thickTop="1" thickBot="1" x14ac:dyDescent="0.35">
      <c r="A178" s="123" t="str">
        <f>IF(B178&lt;&gt;"", ROWS($A$12:A312), "")</f>
        <v/>
      </c>
      <c r="B178" s="57"/>
      <c r="C178" s="57"/>
      <c r="D178" s="58"/>
      <c r="E178" s="59"/>
      <c r="F178" s="57"/>
      <c r="G178" s="62"/>
      <c r="H178" s="67"/>
      <c r="I178" s="57"/>
      <c r="J178" s="57"/>
      <c r="K178" s="57"/>
      <c r="L178" s="57"/>
      <c r="M178" s="95">
        <f>الجدول2[[#This Row],[سعر البيع]]-الجدول2[[#This Row],[ المستلم من العميل]]</f>
        <v>0</v>
      </c>
      <c r="N178" s="57"/>
      <c r="O178" s="95">
        <f>الجدول2[[#This Row],[سعرالشراء]]-N178</f>
        <v>0</v>
      </c>
      <c r="P178" s="118">
        <f>الجدول2[[#This Row],[سعر البيع]]-الجدول2[[#This Row],[سعرالشراء]]</f>
        <v>0</v>
      </c>
    </row>
    <row r="179" spans="1:16" ht="31.5" customHeight="1" thickTop="1" thickBot="1" x14ac:dyDescent="0.35">
      <c r="A179" s="123" t="str">
        <f>IF(B179&lt;&gt;"", ROWS($A$12:A312), "")</f>
        <v/>
      </c>
      <c r="B179" s="57"/>
      <c r="C179" s="57"/>
      <c r="D179" s="58"/>
      <c r="E179" s="59"/>
      <c r="F179" s="57"/>
      <c r="G179" s="62"/>
      <c r="H179" s="67"/>
      <c r="I179" s="57"/>
      <c r="J179" s="57"/>
      <c r="K179" s="57"/>
      <c r="L179" s="57"/>
      <c r="M179" s="95">
        <f>الجدول2[[#This Row],[سعر البيع]]-الجدول2[[#This Row],[ المستلم من العميل]]</f>
        <v>0</v>
      </c>
      <c r="N179" s="57"/>
      <c r="O179" s="95">
        <f>الجدول2[[#This Row],[سعرالشراء]]-N179</f>
        <v>0</v>
      </c>
      <c r="P179" s="118">
        <f>الجدول2[[#This Row],[سعر البيع]]-الجدول2[[#This Row],[سعرالشراء]]</f>
        <v>0</v>
      </c>
    </row>
    <row r="180" spans="1:16" ht="31.5" customHeight="1" thickTop="1" thickBot="1" x14ac:dyDescent="0.35">
      <c r="A180" s="123" t="str">
        <f>IF(B180&lt;&gt;"", ROWS($A$12:A312), "")</f>
        <v/>
      </c>
      <c r="B180" s="57"/>
      <c r="C180" s="57"/>
      <c r="D180" s="58"/>
      <c r="E180" s="59"/>
      <c r="F180" s="57"/>
      <c r="G180" s="62"/>
      <c r="H180" s="67"/>
      <c r="I180" s="57"/>
      <c r="J180" s="57"/>
      <c r="K180" s="57"/>
      <c r="L180" s="57"/>
      <c r="M180" s="95">
        <f>الجدول2[[#This Row],[سعر البيع]]-الجدول2[[#This Row],[ المستلم من العميل]]</f>
        <v>0</v>
      </c>
      <c r="N180" s="57"/>
      <c r="O180" s="95">
        <f>الجدول2[[#This Row],[سعرالشراء]]-N180</f>
        <v>0</v>
      </c>
      <c r="P180" s="118">
        <f>الجدول2[[#This Row],[سعر البيع]]-الجدول2[[#This Row],[سعرالشراء]]</f>
        <v>0</v>
      </c>
    </row>
    <row r="181" spans="1:16" ht="31.5" customHeight="1" thickTop="1" thickBot="1" x14ac:dyDescent="0.35">
      <c r="A181" s="123" t="str">
        <f>IF(B181&lt;&gt;"", ROWS($A$12:A312), "")</f>
        <v/>
      </c>
      <c r="B181" s="57"/>
      <c r="C181" s="57"/>
      <c r="D181" s="58"/>
      <c r="E181" s="59"/>
      <c r="F181" s="57"/>
      <c r="G181" s="62"/>
      <c r="H181" s="67"/>
      <c r="I181" s="57"/>
      <c r="J181" s="57"/>
      <c r="K181" s="57"/>
      <c r="L181" s="57"/>
      <c r="M181" s="95">
        <f>الجدول2[[#This Row],[سعر البيع]]-الجدول2[[#This Row],[ المستلم من العميل]]</f>
        <v>0</v>
      </c>
      <c r="N181" s="57"/>
      <c r="O181" s="95">
        <f>الجدول2[[#This Row],[سعرالشراء]]-N181</f>
        <v>0</v>
      </c>
      <c r="P181" s="118">
        <f>الجدول2[[#This Row],[سعر البيع]]-الجدول2[[#This Row],[سعرالشراء]]</f>
        <v>0</v>
      </c>
    </row>
    <row r="182" spans="1:16" ht="31.5" customHeight="1" thickTop="1" thickBot="1" x14ac:dyDescent="0.35">
      <c r="A182" s="123" t="str">
        <f>IF(B182&lt;&gt;"", ROWS($A$12:A312), "")</f>
        <v/>
      </c>
      <c r="B182" s="57"/>
      <c r="C182" s="57"/>
      <c r="D182" s="58"/>
      <c r="E182" s="59"/>
      <c r="F182" s="57"/>
      <c r="G182" s="62"/>
      <c r="H182" s="67"/>
      <c r="I182" s="57"/>
      <c r="J182" s="57"/>
      <c r="K182" s="57"/>
      <c r="L182" s="57"/>
      <c r="M182" s="95">
        <f>الجدول2[[#This Row],[سعر البيع]]-الجدول2[[#This Row],[ المستلم من العميل]]</f>
        <v>0</v>
      </c>
      <c r="N182" s="57"/>
      <c r="O182" s="95">
        <f>الجدول2[[#This Row],[سعرالشراء]]-N182</f>
        <v>0</v>
      </c>
      <c r="P182" s="118">
        <f>الجدول2[[#This Row],[سعر البيع]]-الجدول2[[#This Row],[سعرالشراء]]</f>
        <v>0</v>
      </c>
    </row>
    <row r="183" spans="1:16" ht="31.5" customHeight="1" thickTop="1" thickBot="1" x14ac:dyDescent="0.35">
      <c r="A183" s="123" t="str">
        <f>IF(B183&lt;&gt;"", ROWS($A$12:A312), "")</f>
        <v/>
      </c>
      <c r="B183" s="57"/>
      <c r="C183" s="57"/>
      <c r="D183" s="58"/>
      <c r="E183" s="59"/>
      <c r="F183" s="57"/>
      <c r="G183" s="62"/>
      <c r="H183" s="67"/>
      <c r="I183" s="57"/>
      <c r="J183" s="57"/>
      <c r="K183" s="57"/>
      <c r="L183" s="57"/>
      <c r="M183" s="95">
        <f>الجدول2[[#This Row],[سعر البيع]]-الجدول2[[#This Row],[ المستلم من العميل]]</f>
        <v>0</v>
      </c>
      <c r="N183" s="57"/>
      <c r="O183" s="95">
        <f>الجدول2[[#This Row],[سعرالشراء]]-N183</f>
        <v>0</v>
      </c>
      <c r="P183" s="118">
        <f>الجدول2[[#This Row],[سعر البيع]]-الجدول2[[#This Row],[سعرالشراء]]</f>
        <v>0</v>
      </c>
    </row>
    <row r="184" spans="1:16" ht="31.5" customHeight="1" thickTop="1" thickBot="1" x14ac:dyDescent="0.35">
      <c r="A184" s="123" t="str">
        <f>IF(B184&lt;&gt;"", ROWS($A$12:A312), "")</f>
        <v/>
      </c>
      <c r="B184" s="57"/>
      <c r="C184" s="57"/>
      <c r="D184" s="58"/>
      <c r="E184" s="59"/>
      <c r="F184" s="57"/>
      <c r="G184" s="62"/>
      <c r="H184" s="67"/>
      <c r="I184" s="57"/>
      <c r="J184" s="57"/>
      <c r="K184" s="57"/>
      <c r="L184" s="57"/>
      <c r="M184" s="95">
        <f>الجدول2[[#This Row],[سعر البيع]]-الجدول2[[#This Row],[ المستلم من العميل]]</f>
        <v>0</v>
      </c>
      <c r="N184" s="57"/>
      <c r="O184" s="95">
        <f>الجدول2[[#This Row],[سعرالشراء]]-N184</f>
        <v>0</v>
      </c>
      <c r="P184" s="118">
        <f>الجدول2[[#This Row],[سعر البيع]]-الجدول2[[#This Row],[سعرالشراء]]</f>
        <v>0</v>
      </c>
    </row>
    <row r="185" spans="1:16" ht="31.5" customHeight="1" thickTop="1" thickBot="1" x14ac:dyDescent="0.35">
      <c r="A185" s="123" t="str">
        <f>IF(B185&lt;&gt;"", ROWS($A$12:A312), "")</f>
        <v/>
      </c>
      <c r="B185" s="57"/>
      <c r="C185" s="57"/>
      <c r="D185" s="58"/>
      <c r="E185" s="59"/>
      <c r="F185" s="57"/>
      <c r="G185" s="62"/>
      <c r="H185" s="67"/>
      <c r="I185" s="57"/>
      <c r="J185" s="57"/>
      <c r="K185" s="57"/>
      <c r="L185" s="57"/>
      <c r="M185" s="95">
        <f>الجدول2[[#This Row],[سعر البيع]]-الجدول2[[#This Row],[ المستلم من العميل]]</f>
        <v>0</v>
      </c>
      <c r="N185" s="57"/>
      <c r="O185" s="95">
        <f>الجدول2[[#This Row],[سعرالشراء]]-N185</f>
        <v>0</v>
      </c>
      <c r="P185" s="118">
        <f>الجدول2[[#This Row],[سعر البيع]]-الجدول2[[#This Row],[سعرالشراء]]</f>
        <v>0</v>
      </c>
    </row>
    <row r="186" spans="1:16" ht="31.5" customHeight="1" thickTop="1" thickBot="1" x14ac:dyDescent="0.35">
      <c r="A186" s="123" t="str">
        <f>IF(B186&lt;&gt;"", ROWS($A$12:A312), "")</f>
        <v/>
      </c>
      <c r="B186" s="57"/>
      <c r="C186" s="57"/>
      <c r="D186" s="58"/>
      <c r="E186" s="59"/>
      <c r="F186" s="57"/>
      <c r="G186" s="62"/>
      <c r="H186" s="67"/>
      <c r="I186" s="57"/>
      <c r="J186" s="57"/>
      <c r="K186" s="57"/>
      <c r="L186" s="57"/>
      <c r="M186" s="95">
        <f>الجدول2[[#This Row],[سعر البيع]]-الجدول2[[#This Row],[ المستلم من العميل]]</f>
        <v>0</v>
      </c>
      <c r="N186" s="57"/>
      <c r="O186" s="95">
        <f>الجدول2[[#This Row],[سعرالشراء]]-N186</f>
        <v>0</v>
      </c>
      <c r="P186" s="118">
        <f>الجدول2[[#This Row],[سعر البيع]]-الجدول2[[#This Row],[سعرالشراء]]</f>
        <v>0</v>
      </c>
    </row>
    <row r="187" spans="1:16" ht="31.5" customHeight="1" thickTop="1" thickBot="1" x14ac:dyDescent="0.35">
      <c r="A187" s="123" t="str">
        <f>IF(B187&lt;&gt;"", ROWS($A$12:A312), "")</f>
        <v/>
      </c>
      <c r="B187" s="57"/>
      <c r="C187" s="57"/>
      <c r="D187" s="58"/>
      <c r="E187" s="59"/>
      <c r="F187" s="57"/>
      <c r="G187" s="62"/>
      <c r="H187" s="67"/>
      <c r="I187" s="57"/>
      <c r="J187" s="57"/>
      <c r="K187" s="57"/>
      <c r="L187" s="57"/>
      <c r="M187" s="95">
        <f>الجدول2[[#This Row],[سعر البيع]]-الجدول2[[#This Row],[ المستلم من العميل]]</f>
        <v>0</v>
      </c>
      <c r="N187" s="57"/>
      <c r="O187" s="95">
        <f>الجدول2[[#This Row],[سعرالشراء]]-N187</f>
        <v>0</v>
      </c>
      <c r="P187" s="118">
        <f>الجدول2[[#This Row],[سعر البيع]]-الجدول2[[#This Row],[سعرالشراء]]</f>
        <v>0</v>
      </c>
    </row>
    <row r="188" spans="1:16" ht="31.5" customHeight="1" thickTop="1" thickBot="1" x14ac:dyDescent="0.35">
      <c r="A188" s="123" t="str">
        <f>IF(B188&lt;&gt;"", ROWS($A$12:A312), "")</f>
        <v/>
      </c>
      <c r="B188" s="57"/>
      <c r="C188" s="57"/>
      <c r="D188" s="58"/>
      <c r="E188" s="59"/>
      <c r="F188" s="57"/>
      <c r="G188" s="62"/>
      <c r="H188" s="67"/>
      <c r="I188" s="57"/>
      <c r="J188" s="57"/>
      <c r="K188" s="57"/>
      <c r="L188" s="57"/>
      <c r="M188" s="95">
        <f>الجدول2[[#This Row],[سعر البيع]]-الجدول2[[#This Row],[ المستلم من العميل]]</f>
        <v>0</v>
      </c>
      <c r="N188" s="57"/>
      <c r="O188" s="95">
        <f>الجدول2[[#This Row],[سعرالشراء]]-N188</f>
        <v>0</v>
      </c>
      <c r="P188" s="118">
        <f>الجدول2[[#This Row],[سعر البيع]]-الجدول2[[#This Row],[سعرالشراء]]</f>
        <v>0</v>
      </c>
    </row>
    <row r="189" spans="1:16" ht="31.5" customHeight="1" thickTop="1" thickBot="1" x14ac:dyDescent="0.35">
      <c r="A189" s="123" t="str">
        <f>IF(B189&lt;&gt;"", ROWS($A$12:A312), "")</f>
        <v/>
      </c>
      <c r="B189" s="57"/>
      <c r="C189" s="57"/>
      <c r="D189" s="58"/>
      <c r="E189" s="59"/>
      <c r="F189" s="57"/>
      <c r="G189" s="62"/>
      <c r="H189" s="67"/>
      <c r="I189" s="57"/>
      <c r="J189" s="57"/>
      <c r="K189" s="57"/>
      <c r="L189" s="57"/>
      <c r="M189" s="95">
        <f>الجدول2[[#This Row],[سعر البيع]]-الجدول2[[#This Row],[ المستلم من العميل]]</f>
        <v>0</v>
      </c>
      <c r="N189" s="57"/>
      <c r="O189" s="95">
        <f>الجدول2[[#This Row],[سعرالشراء]]-N189</f>
        <v>0</v>
      </c>
      <c r="P189" s="118">
        <f>الجدول2[[#This Row],[سعر البيع]]-الجدول2[[#This Row],[سعرالشراء]]</f>
        <v>0</v>
      </c>
    </row>
    <row r="190" spans="1:16" ht="31.5" customHeight="1" thickTop="1" thickBot="1" x14ac:dyDescent="0.35">
      <c r="A190" s="123" t="str">
        <f>IF(B190&lt;&gt;"", ROWS($A$12:A312), "")</f>
        <v/>
      </c>
      <c r="B190" s="57"/>
      <c r="C190" s="57"/>
      <c r="D190" s="58"/>
      <c r="E190" s="59"/>
      <c r="F190" s="57"/>
      <c r="G190" s="62"/>
      <c r="H190" s="67"/>
      <c r="I190" s="57"/>
      <c r="J190" s="57"/>
      <c r="K190" s="57"/>
      <c r="L190" s="57"/>
      <c r="M190" s="95">
        <f>الجدول2[[#This Row],[سعر البيع]]-الجدول2[[#This Row],[ المستلم من العميل]]</f>
        <v>0</v>
      </c>
      <c r="N190" s="57"/>
      <c r="O190" s="95">
        <f>الجدول2[[#This Row],[سعرالشراء]]-N190</f>
        <v>0</v>
      </c>
      <c r="P190" s="118">
        <f>الجدول2[[#This Row],[سعر البيع]]-الجدول2[[#This Row],[سعرالشراء]]</f>
        <v>0</v>
      </c>
    </row>
    <row r="191" spans="1:16" ht="31.5" customHeight="1" thickTop="1" thickBot="1" x14ac:dyDescent="0.35">
      <c r="A191" s="123" t="str">
        <f>IF(B191&lt;&gt;"", ROWS($A$12:A312), "")</f>
        <v/>
      </c>
      <c r="B191" s="57"/>
      <c r="C191" s="57"/>
      <c r="D191" s="58"/>
      <c r="E191" s="59"/>
      <c r="F191" s="57"/>
      <c r="G191" s="62"/>
      <c r="H191" s="67"/>
      <c r="I191" s="57"/>
      <c r="J191" s="57"/>
      <c r="K191" s="57"/>
      <c r="L191" s="57"/>
      <c r="M191" s="95">
        <f>الجدول2[[#This Row],[سعر البيع]]-الجدول2[[#This Row],[ المستلم من العميل]]</f>
        <v>0</v>
      </c>
      <c r="N191" s="57"/>
      <c r="O191" s="95">
        <f>الجدول2[[#This Row],[سعرالشراء]]-N191</f>
        <v>0</v>
      </c>
      <c r="P191" s="118">
        <f>الجدول2[[#This Row],[سعر البيع]]-الجدول2[[#This Row],[سعرالشراء]]</f>
        <v>0</v>
      </c>
    </row>
    <row r="192" spans="1:16" ht="31.5" customHeight="1" thickTop="1" thickBot="1" x14ac:dyDescent="0.35">
      <c r="A192" s="123" t="str">
        <f>IF(B192&lt;&gt;"", ROWS($A$12:A312), "")</f>
        <v/>
      </c>
      <c r="B192" s="57"/>
      <c r="C192" s="57"/>
      <c r="D192" s="58"/>
      <c r="E192" s="59"/>
      <c r="F192" s="57"/>
      <c r="G192" s="62"/>
      <c r="H192" s="67"/>
      <c r="I192" s="57"/>
      <c r="J192" s="57"/>
      <c r="K192" s="57"/>
      <c r="L192" s="57"/>
      <c r="M192" s="95">
        <f>الجدول2[[#This Row],[سعر البيع]]-الجدول2[[#This Row],[ المستلم من العميل]]</f>
        <v>0</v>
      </c>
      <c r="N192" s="57"/>
      <c r="O192" s="95">
        <f>الجدول2[[#This Row],[سعرالشراء]]-N192</f>
        <v>0</v>
      </c>
      <c r="P192" s="118">
        <f>الجدول2[[#This Row],[سعر البيع]]-الجدول2[[#This Row],[سعرالشراء]]</f>
        <v>0</v>
      </c>
    </row>
    <row r="193" spans="1:16" ht="31.5" customHeight="1" thickTop="1" thickBot="1" x14ac:dyDescent="0.35">
      <c r="A193" s="123" t="str">
        <f>IF(B193&lt;&gt;"", ROWS($A$12:A312), "")</f>
        <v/>
      </c>
      <c r="B193" s="57"/>
      <c r="C193" s="57"/>
      <c r="D193" s="58"/>
      <c r="E193" s="59"/>
      <c r="F193" s="57"/>
      <c r="G193" s="62"/>
      <c r="H193" s="67"/>
      <c r="I193" s="57"/>
      <c r="J193" s="57"/>
      <c r="K193" s="57"/>
      <c r="L193" s="57"/>
      <c r="M193" s="95">
        <f>الجدول2[[#This Row],[سعر البيع]]-الجدول2[[#This Row],[ المستلم من العميل]]</f>
        <v>0</v>
      </c>
      <c r="N193" s="57"/>
      <c r="O193" s="95">
        <f>الجدول2[[#This Row],[سعرالشراء]]-N193</f>
        <v>0</v>
      </c>
      <c r="P193" s="118">
        <f>الجدول2[[#This Row],[سعر البيع]]-الجدول2[[#This Row],[سعرالشراء]]</f>
        <v>0</v>
      </c>
    </row>
    <row r="194" spans="1:16" ht="31.5" customHeight="1" thickTop="1" thickBot="1" x14ac:dyDescent="0.35">
      <c r="A194" s="123" t="str">
        <f>IF(B194&lt;&gt;"", ROWS($A$12:A312), "")</f>
        <v/>
      </c>
      <c r="B194" s="57"/>
      <c r="C194" s="57"/>
      <c r="D194" s="58"/>
      <c r="E194" s="59"/>
      <c r="F194" s="57"/>
      <c r="G194" s="62"/>
      <c r="H194" s="67"/>
      <c r="I194" s="57"/>
      <c r="J194" s="57"/>
      <c r="K194" s="57"/>
      <c r="L194" s="57"/>
      <c r="M194" s="95">
        <f>الجدول2[[#This Row],[سعر البيع]]-الجدول2[[#This Row],[ المستلم من العميل]]</f>
        <v>0</v>
      </c>
      <c r="N194" s="57"/>
      <c r="O194" s="95">
        <f>الجدول2[[#This Row],[سعرالشراء]]-N194</f>
        <v>0</v>
      </c>
      <c r="P194" s="118">
        <f>الجدول2[[#This Row],[سعر البيع]]-الجدول2[[#This Row],[سعرالشراء]]</f>
        <v>0</v>
      </c>
    </row>
    <row r="195" spans="1:16" ht="31.5" customHeight="1" thickTop="1" thickBot="1" x14ac:dyDescent="0.35">
      <c r="A195" s="123" t="str">
        <f>IF(B195&lt;&gt;"", ROWS($A$12:A312), "")</f>
        <v/>
      </c>
      <c r="B195" s="57"/>
      <c r="C195" s="57"/>
      <c r="D195" s="58"/>
      <c r="E195" s="59"/>
      <c r="F195" s="57"/>
      <c r="G195" s="62"/>
      <c r="H195" s="67"/>
      <c r="I195" s="57"/>
      <c r="J195" s="57"/>
      <c r="K195" s="57"/>
      <c r="L195" s="57"/>
      <c r="M195" s="95">
        <f>الجدول2[[#This Row],[سعر البيع]]-الجدول2[[#This Row],[ المستلم من العميل]]</f>
        <v>0</v>
      </c>
      <c r="N195" s="57"/>
      <c r="O195" s="95">
        <f>الجدول2[[#This Row],[سعرالشراء]]-N195</f>
        <v>0</v>
      </c>
      <c r="P195" s="118">
        <f>الجدول2[[#This Row],[سعر البيع]]-الجدول2[[#This Row],[سعرالشراء]]</f>
        <v>0</v>
      </c>
    </row>
    <row r="196" spans="1:16" ht="31.5" customHeight="1" thickTop="1" thickBot="1" x14ac:dyDescent="0.35">
      <c r="A196" s="123" t="str">
        <f>IF(B196&lt;&gt;"", ROWS($A$12:A312), "")</f>
        <v/>
      </c>
      <c r="B196" s="57"/>
      <c r="C196" s="57"/>
      <c r="D196" s="58"/>
      <c r="E196" s="59"/>
      <c r="F196" s="57"/>
      <c r="G196" s="62"/>
      <c r="H196" s="67"/>
      <c r="I196" s="57"/>
      <c r="J196" s="57"/>
      <c r="K196" s="57"/>
      <c r="L196" s="57"/>
      <c r="M196" s="95">
        <f>الجدول2[[#This Row],[سعر البيع]]-الجدول2[[#This Row],[ المستلم من العميل]]</f>
        <v>0</v>
      </c>
      <c r="N196" s="57"/>
      <c r="O196" s="95">
        <f>الجدول2[[#This Row],[سعرالشراء]]-N196</f>
        <v>0</v>
      </c>
      <c r="P196" s="118">
        <f>الجدول2[[#This Row],[سعر البيع]]-الجدول2[[#This Row],[سعرالشراء]]</f>
        <v>0</v>
      </c>
    </row>
    <row r="197" spans="1:16" ht="31.5" customHeight="1" thickTop="1" thickBot="1" x14ac:dyDescent="0.35">
      <c r="A197" s="123" t="str">
        <f>IF(B197&lt;&gt;"", ROWS($A$12:A312), "")</f>
        <v/>
      </c>
      <c r="B197" s="57"/>
      <c r="C197" s="57"/>
      <c r="D197" s="58"/>
      <c r="E197" s="59"/>
      <c r="F197" s="57"/>
      <c r="G197" s="62"/>
      <c r="H197" s="67"/>
      <c r="I197" s="57"/>
      <c r="J197" s="57"/>
      <c r="K197" s="57"/>
      <c r="L197" s="57"/>
      <c r="M197" s="95">
        <f>الجدول2[[#This Row],[سعر البيع]]-الجدول2[[#This Row],[ المستلم من العميل]]</f>
        <v>0</v>
      </c>
      <c r="N197" s="57"/>
      <c r="O197" s="95">
        <f>الجدول2[[#This Row],[سعرالشراء]]-N197</f>
        <v>0</v>
      </c>
      <c r="P197" s="118">
        <f>الجدول2[[#This Row],[سعر البيع]]-الجدول2[[#This Row],[سعرالشراء]]</f>
        <v>0</v>
      </c>
    </row>
    <row r="198" spans="1:16" ht="31.5" customHeight="1" thickTop="1" thickBot="1" x14ac:dyDescent="0.35">
      <c r="A198" s="123" t="str">
        <f>IF(B198&lt;&gt;"", ROWS($A$12:A312), "")</f>
        <v/>
      </c>
      <c r="B198" s="57"/>
      <c r="C198" s="57"/>
      <c r="D198" s="58"/>
      <c r="E198" s="59"/>
      <c r="F198" s="57"/>
      <c r="G198" s="62"/>
      <c r="H198" s="67"/>
      <c r="I198" s="57"/>
      <c r="J198" s="57"/>
      <c r="K198" s="57"/>
      <c r="L198" s="57"/>
      <c r="M198" s="95">
        <f>الجدول2[[#This Row],[سعر البيع]]-الجدول2[[#This Row],[ المستلم من العميل]]</f>
        <v>0</v>
      </c>
      <c r="N198" s="57"/>
      <c r="O198" s="95">
        <f>الجدول2[[#This Row],[سعرالشراء]]-N198</f>
        <v>0</v>
      </c>
      <c r="P198" s="118">
        <f>الجدول2[[#This Row],[سعر البيع]]-الجدول2[[#This Row],[سعرالشراء]]</f>
        <v>0</v>
      </c>
    </row>
    <row r="199" spans="1:16" ht="31.5" customHeight="1" thickTop="1" thickBot="1" x14ac:dyDescent="0.35">
      <c r="A199" s="123" t="str">
        <f>IF(B199&lt;&gt;"", ROWS($A$12:A312), "")</f>
        <v/>
      </c>
      <c r="B199" s="57"/>
      <c r="C199" s="57"/>
      <c r="D199" s="58"/>
      <c r="E199" s="59"/>
      <c r="F199" s="57"/>
      <c r="G199" s="62"/>
      <c r="H199" s="67"/>
      <c r="I199" s="57"/>
      <c r="J199" s="57"/>
      <c r="K199" s="57"/>
      <c r="L199" s="57"/>
      <c r="M199" s="95">
        <f>الجدول2[[#This Row],[سعر البيع]]-الجدول2[[#This Row],[ المستلم من العميل]]</f>
        <v>0</v>
      </c>
      <c r="N199" s="57"/>
      <c r="O199" s="95">
        <f>الجدول2[[#This Row],[سعرالشراء]]-N199</f>
        <v>0</v>
      </c>
      <c r="P199" s="118">
        <f>الجدول2[[#This Row],[سعر البيع]]-الجدول2[[#This Row],[سعرالشراء]]</f>
        <v>0</v>
      </c>
    </row>
    <row r="200" spans="1:16" ht="31.5" customHeight="1" thickTop="1" thickBot="1" x14ac:dyDescent="0.35">
      <c r="A200" s="123" t="str">
        <f>IF(B200&lt;&gt;"", ROWS($A$12:A312), "")</f>
        <v/>
      </c>
      <c r="B200" s="57"/>
      <c r="C200" s="57"/>
      <c r="D200" s="58"/>
      <c r="E200" s="59"/>
      <c r="F200" s="57"/>
      <c r="G200" s="62"/>
      <c r="H200" s="67"/>
      <c r="I200" s="57"/>
      <c r="J200" s="57"/>
      <c r="K200" s="57"/>
      <c r="L200" s="57"/>
      <c r="M200" s="95">
        <f>الجدول2[[#This Row],[سعر البيع]]-الجدول2[[#This Row],[ المستلم من العميل]]</f>
        <v>0</v>
      </c>
      <c r="N200" s="57"/>
      <c r="O200" s="95">
        <f>الجدول2[[#This Row],[سعرالشراء]]-N200</f>
        <v>0</v>
      </c>
      <c r="P200" s="118">
        <f>الجدول2[[#This Row],[سعر البيع]]-الجدول2[[#This Row],[سعرالشراء]]</f>
        <v>0</v>
      </c>
    </row>
    <row r="201" spans="1:16" ht="31.5" customHeight="1" thickTop="1" thickBot="1" x14ac:dyDescent="0.35">
      <c r="A201" s="123" t="str">
        <f>IF(B201&lt;&gt;"", ROWS($A$12:A312), "")</f>
        <v/>
      </c>
      <c r="B201" s="57"/>
      <c r="C201" s="57"/>
      <c r="D201" s="58"/>
      <c r="E201" s="59"/>
      <c r="F201" s="57"/>
      <c r="G201" s="62"/>
      <c r="H201" s="67"/>
      <c r="I201" s="57"/>
      <c r="J201" s="57"/>
      <c r="K201" s="57"/>
      <c r="L201" s="57"/>
      <c r="M201" s="95">
        <f>الجدول2[[#This Row],[سعر البيع]]-الجدول2[[#This Row],[ المستلم من العميل]]</f>
        <v>0</v>
      </c>
      <c r="N201" s="57"/>
      <c r="O201" s="95">
        <f>الجدول2[[#This Row],[سعرالشراء]]-N201</f>
        <v>0</v>
      </c>
      <c r="P201" s="118">
        <f>الجدول2[[#This Row],[سعر البيع]]-الجدول2[[#This Row],[سعرالشراء]]</f>
        <v>0</v>
      </c>
    </row>
    <row r="202" spans="1:16" ht="31.5" customHeight="1" thickTop="1" thickBot="1" x14ac:dyDescent="0.35">
      <c r="A202" s="123" t="str">
        <f>IF(B202&lt;&gt;"", ROWS($A$12:A312), "")</f>
        <v/>
      </c>
      <c r="B202" s="57"/>
      <c r="C202" s="57"/>
      <c r="D202" s="58"/>
      <c r="E202" s="59"/>
      <c r="F202" s="57"/>
      <c r="G202" s="62"/>
      <c r="H202" s="67"/>
      <c r="I202" s="57"/>
      <c r="J202" s="57"/>
      <c r="K202" s="57"/>
      <c r="L202" s="57"/>
      <c r="M202" s="95">
        <f>الجدول2[[#This Row],[سعر البيع]]-الجدول2[[#This Row],[ المستلم من العميل]]</f>
        <v>0</v>
      </c>
      <c r="N202" s="57"/>
      <c r="O202" s="95">
        <f>الجدول2[[#This Row],[سعرالشراء]]-N202</f>
        <v>0</v>
      </c>
      <c r="P202" s="118">
        <f>الجدول2[[#This Row],[سعر البيع]]-الجدول2[[#This Row],[سعرالشراء]]</f>
        <v>0</v>
      </c>
    </row>
    <row r="203" spans="1:16" ht="31.5" customHeight="1" thickTop="1" thickBot="1" x14ac:dyDescent="0.35">
      <c r="A203" s="123" t="str">
        <f>IF(B203&lt;&gt;"", ROWS($A$12:A312), "")</f>
        <v/>
      </c>
      <c r="B203" s="57"/>
      <c r="C203" s="57"/>
      <c r="D203" s="58"/>
      <c r="E203" s="59"/>
      <c r="F203" s="57"/>
      <c r="G203" s="62"/>
      <c r="H203" s="67"/>
      <c r="I203" s="57"/>
      <c r="J203" s="57"/>
      <c r="K203" s="57"/>
      <c r="L203" s="57"/>
      <c r="M203" s="95">
        <f>الجدول2[[#This Row],[سعر البيع]]-الجدول2[[#This Row],[ المستلم من العميل]]</f>
        <v>0</v>
      </c>
      <c r="N203" s="57"/>
      <c r="O203" s="95">
        <f>الجدول2[[#This Row],[سعرالشراء]]-N203</f>
        <v>0</v>
      </c>
      <c r="P203" s="118">
        <f>الجدول2[[#This Row],[سعر البيع]]-الجدول2[[#This Row],[سعرالشراء]]</f>
        <v>0</v>
      </c>
    </row>
    <row r="204" spans="1:16" ht="31.5" customHeight="1" thickTop="1" thickBot="1" x14ac:dyDescent="0.35">
      <c r="A204" s="123" t="str">
        <f>IF(B204&lt;&gt;"", ROWS($A$12:A312), "")</f>
        <v/>
      </c>
      <c r="B204" s="57"/>
      <c r="C204" s="57"/>
      <c r="D204" s="58"/>
      <c r="E204" s="59"/>
      <c r="F204" s="57"/>
      <c r="G204" s="62"/>
      <c r="H204" s="67"/>
      <c r="I204" s="57"/>
      <c r="J204" s="57"/>
      <c r="K204" s="57"/>
      <c r="L204" s="57"/>
      <c r="M204" s="95">
        <f>الجدول2[[#This Row],[سعر البيع]]-الجدول2[[#This Row],[ المستلم من العميل]]</f>
        <v>0</v>
      </c>
      <c r="N204" s="57"/>
      <c r="O204" s="95">
        <f>الجدول2[[#This Row],[سعرالشراء]]-N204</f>
        <v>0</v>
      </c>
      <c r="P204" s="118">
        <f>الجدول2[[#This Row],[سعر البيع]]-الجدول2[[#This Row],[سعرالشراء]]</f>
        <v>0</v>
      </c>
    </row>
    <row r="205" spans="1:16" ht="31.5" customHeight="1" thickTop="1" thickBot="1" x14ac:dyDescent="0.35">
      <c r="A205" s="123" t="str">
        <f>IF(B205&lt;&gt;"", ROWS($A$12:A312), "")</f>
        <v/>
      </c>
      <c r="B205" s="57"/>
      <c r="C205" s="57"/>
      <c r="D205" s="58"/>
      <c r="E205" s="59"/>
      <c r="F205" s="57"/>
      <c r="G205" s="62"/>
      <c r="H205" s="67"/>
      <c r="I205" s="57"/>
      <c r="J205" s="57"/>
      <c r="K205" s="57"/>
      <c r="L205" s="57"/>
      <c r="M205" s="95">
        <f>الجدول2[[#This Row],[سعر البيع]]-الجدول2[[#This Row],[ المستلم من العميل]]</f>
        <v>0</v>
      </c>
      <c r="N205" s="57"/>
      <c r="O205" s="95">
        <f>الجدول2[[#This Row],[سعرالشراء]]-N205</f>
        <v>0</v>
      </c>
      <c r="P205" s="118">
        <f>الجدول2[[#This Row],[سعر البيع]]-الجدول2[[#This Row],[سعرالشراء]]</f>
        <v>0</v>
      </c>
    </row>
    <row r="206" spans="1:16" ht="31.5" customHeight="1" thickTop="1" thickBot="1" x14ac:dyDescent="0.35">
      <c r="A206" s="123" t="str">
        <f>IF(B206&lt;&gt;"", ROWS($A$12:A312), "")</f>
        <v/>
      </c>
      <c r="B206" s="57"/>
      <c r="C206" s="57"/>
      <c r="D206" s="58"/>
      <c r="E206" s="59"/>
      <c r="F206" s="57"/>
      <c r="G206" s="62"/>
      <c r="H206" s="67"/>
      <c r="I206" s="57"/>
      <c r="J206" s="57"/>
      <c r="K206" s="57"/>
      <c r="L206" s="57"/>
      <c r="M206" s="95">
        <f>الجدول2[[#This Row],[سعر البيع]]-الجدول2[[#This Row],[ المستلم من العميل]]</f>
        <v>0</v>
      </c>
      <c r="N206" s="57"/>
      <c r="O206" s="95">
        <f>الجدول2[[#This Row],[سعرالشراء]]-N206</f>
        <v>0</v>
      </c>
      <c r="P206" s="118">
        <f>الجدول2[[#This Row],[سعر البيع]]-الجدول2[[#This Row],[سعرالشراء]]</f>
        <v>0</v>
      </c>
    </row>
    <row r="207" spans="1:16" ht="31.5" customHeight="1" thickTop="1" thickBot="1" x14ac:dyDescent="0.35">
      <c r="A207" s="123" t="str">
        <f>IF(B207&lt;&gt;"", ROWS($A$12:A312), "")</f>
        <v/>
      </c>
      <c r="B207" s="57"/>
      <c r="C207" s="57"/>
      <c r="D207" s="58"/>
      <c r="E207" s="59"/>
      <c r="F207" s="57"/>
      <c r="G207" s="62"/>
      <c r="H207" s="67"/>
      <c r="I207" s="57"/>
      <c r="J207" s="57"/>
      <c r="K207" s="57"/>
      <c r="L207" s="57"/>
      <c r="M207" s="95">
        <f>الجدول2[[#This Row],[سعر البيع]]-الجدول2[[#This Row],[ المستلم من العميل]]</f>
        <v>0</v>
      </c>
      <c r="N207" s="57"/>
      <c r="O207" s="95">
        <f>الجدول2[[#This Row],[سعرالشراء]]-N207</f>
        <v>0</v>
      </c>
      <c r="P207" s="118">
        <f>الجدول2[[#This Row],[سعر البيع]]-الجدول2[[#This Row],[سعرالشراء]]</f>
        <v>0</v>
      </c>
    </row>
    <row r="208" spans="1:16" ht="31.5" customHeight="1" thickTop="1" thickBot="1" x14ac:dyDescent="0.35">
      <c r="A208" s="123" t="str">
        <f>IF(B208&lt;&gt;"", ROWS($A$12:A312), "")</f>
        <v/>
      </c>
      <c r="B208" s="57"/>
      <c r="C208" s="57"/>
      <c r="D208" s="58"/>
      <c r="E208" s="59"/>
      <c r="F208" s="57"/>
      <c r="G208" s="62"/>
      <c r="H208" s="67"/>
      <c r="I208" s="57"/>
      <c r="J208" s="57"/>
      <c r="K208" s="57"/>
      <c r="L208" s="57"/>
      <c r="M208" s="95">
        <f>الجدول2[[#This Row],[سعر البيع]]-الجدول2[[#This Row],[ المستلم من العميل]]</f>
        <v>0</v>
      </c>
      <c r="N208" s="57"/>
      <c r="O208" s="95">
        <f>الجدول2[[#This Row],[سعرالشراء]]-N208</f>
        <v>0</v>
      </c>
      <c r="P208" s="118">
        <f>الجدول2[[#This Row],[سعر البيع]]-الجدول2[[#This Row],[سعرالشراء]]</f>
        <v>0</v>
      </c>
    </row>
    <row r="209" spans="1:16" ht="31.5" customHeight="1" thickTop="1" thickBot="1" x14ac:dyDescent="0.35">
      <c r="A209" s="123" t="str">
        <f>IF(B209&lt;&gt;"", ROWS($A$12:A312), "")</f>
        <v/>
      </c>
      <c r="B209" s="57"/>
      <c r="C209" s="57"/>
      <c r="D209" s="58"/>
      <c r="E209" s="59"/>
      <c r="F209" s="57"/>
      <c r="G209" s="62"/>
      <c r="H209" s="67"/>
      <c r="I209" s="57"/>
      <c r="J209" s="57"/>
      <c r="K209" s="57"/>
      <c r="L209" s="57"/>
      <c r="M209" s="95">
        <f>الجدول2[[#This Row],[سعر البيع]]-الجدول2[[#This Row],[ المستلم من العميل]]</f>
        <v>0</v>
      </c>
      <c r="N209" s="57"/>
      <c r="O209" s="95">
        <f>الجدول2[[#This Row],[سعرالشراء]]-N209</f>
        <v>0</v>
      </c>
      <c r="P209" s="118">
        <f>الجدول2[[#This Row],[سعر البيع]]-الجدول2[[#This Row],[سعرالشراء]]</f>
        <v>0</v>
      </c>
    </row>
    <row r="210" spans="1:16" ht="31.5" customHeight="1" thickTop="1" thickBot="1" x14ac:dyDescent="0.35">
      <c r="A210" s="123" t="str">
        <f>IF(B210&lt;&gt;"", ROWS($A$12:A312), "")</f>
        <v/>
      </c>
      <c r="B210" s="57"/>
      <c r="C210" s="57"/>
      <c r="D210" s="58"/>
      <c r="E210" s="59"/>
      <c r="F210" s="57"/>
      <c r="G210" s="62"/>
      <c r="H210" s="67"/>
      <c r="I210" s="57"/>
      <c r="J210" s="57"/>
      <c r="K210" s="57"/>
      <c r="L210" s="57"/>
      <c r="M210" s="95">
        <f>الجدول2[[#This Row],[سعر البيع]]-الجدول2[[#This Row],[ المستلم من العميل]]</f>
        <v>0</v>
      </c>
      <c r="N210" s="57"/>
      <c r="O210" s="95">
        <f>الجدول2[[#This Row],[سعرالشراء]]-N210</f>
        <v>0</v>
      </c>
      <c r="P210" s="118">
        <f>الجدول2[[#This Row],[سعر البيع]]-الجدول2[[#This Row],[سعرالشراء]]</f>
        <v>0</v>
      </c>
    </row>
    <row r="211" spans="1:16" ht="31.5" customHeight="1" thickTop="1" thickBot="1" x14ac:dyDescent="0.35">
      <c r="A211" s="123" t="str">
        <f>IF(B211&lt;&gt;"", ROWS($A$12:A312), "")</f>
        <v/>
      </c>
      <c r="B211" s="57"/>
      <c r="C211" s="57"/>
      <c r="D211" s="58"/>
      <c r="E211" s="59"/>
      <c r="F211" s="57"/>
      <c r="G211" s="62"/>
      <c r="H211" s="67"/>
      <c r="I211" s="57"/>
      <c r="J211" s="57"/>
      <c r="K211" s="57"/>
      <c r="L211" s="57"/>
      <c r="M211" s="95">
        <f>الجدول2[[#This Row],[سعر البيع]]-الجدول2[[#This Row],[ المستلم من العميل]]</f>
        <v>0</v>
      </c>
      <c r="N211" s="57"/>
      <c r="O211" s="95">
        <f>الجدول2[[#This Row],[سعرالشراء]]-N211</f>
        <v>0</v>
      </c>
      <c r="P211" s="118">
        <f>الجدول2[[#This Row],[سعر البيع]]-الجدول2[[#This Row],[سعرالشراء]]</f>
        <v>0</v>
      </c>
    </row>
    <row r="212" spans="1:16" ht="31.5" customHeight="1" thickTop="1" thickBot="1" x14ac:dyDescent="0.35">
      <c r="A212" s="123" t="str">
        <f>IF(B212&lt;&gt;"", ROWS($A$12:A312), "")</f>
        <v/>
      </c>
      <c r="B212" s="57"/>
      <c r="C212" s="57"/>
      <c r="D212" s="58"/>
      <c r="E212" s="59"/>
      <c r="F212" s="57"/>
      <c r="G212" s="62"/>
      <c r="H212" s="67"/>
      <c r="I212" s="57"/>
      <c r="J212" s="57"/>
      <c r="K212" s="57"/>
      <c r="L212" s="57"/>
      <c r="M212" s="95">
        <f>الجدول2[[#This Row],[سعر البيع]]-الجدول2[[#This Row],[ المستلم من العميل]]</f>
        <v>0</v>
      </c>
      <c r="N212" s="57"/>
      <c r="O212" s="95">
        <f>الجدول2[[#This Row],[سعرالشراء]]-N212</f>
        <v>0</v>
      </c>
      <c r="P212" s="118">
        <f>الجدول2[[#This Row],[سعر البيع]]-الجدول2[[#This Row],[سعرالشراء]]</f>
        <v>0</v>
      </c>
    </row>
    <row r="213" spans="1:16" ht="31.5" customHeight="1" thickTop="1" thickBot="1" x14ac:dyDescent="0.35">
      <c r="A213" s="123" t="str">
        <f>IF(B213&lt;&gt;"", ROWS($A$12:A312), "")</f>
        <v/>
      </c>
      <c r="B213" s="57"/>
      <c r="C213" s="57"/>
      <c r="D213" s="58"/>
      <c r="E213" s="59"/>
      <c r="F213" s="57"/>
      <c r="G213" s="62"/>
      <c r="H213" s="67"/>
      <c r="I213" s="57"/>
      <c r="J213" s="57"/>
      <c r="K213" s="57"/>
      <c r="L213" s="57"/>
      <c r="M213" s="95">
        <f>الجدول2[[#This Row],[سعر البيع]]-الجدول2[[#This Row],[ المستلم من العميل]]</f>
        <v>0</v>
      </c>
      <c r="N213" s="57"/>
      <c r="O213" s="95">
        <f>الجدول2[[#This Row],[سعرالشراء]]-N213</f>
        <v>0</v>
      </c>
      <c r="P213" s="118">
        <f>الجدول2[[#This Row],[سعر البيع]]-الجدول2[[#This Row],[سعرالشراء]]</f>
        <v>0</v>
      </c>
    </row>
    <row r="214" spans="1:16" ht="31.5" customHeight="1" thickTop="1" thickBot="1" x14ac:dyDescent="0.35">
      <c r="A214" s="123" t="str">
        <f>IF(B214&lt;&gt;"", ROWS($A$12:A312), "")</f>
        <v/>
      </c>
      <c r="B214" s="57"/>
      <c r="C214" s="57"/>
      <c r="D214" s="58"/>
      <c r="E214" s="59"/>
      <c r="F214" s="57"/>
      <c r="G214" s="62"/>
      <c r="H214" s="67"/>
      <c r="I214" s="57"/>
      <c r="J214" s="57"/>
      <c r="K214" s="57"/>
      <c r="L214" s="57"/>
      <c r="M214" s="95">
        <f>الجدول2[[#This Row],[سعر البيع]]-الجدول2[[#This Row],[ المستلم من العميل]]</f>
        <v>0</v>
      </c>
      <c r="N214" s="57"/>
      <c r="O214" s="95">
        <f>الجدول2[[#This Row],[سعرالشراء]]-N214</f>
        <v>0</v>
      </c>
      <c r="P214" s="118">
        <f>الجدول2[[#This Row],[سعر البيع]]-الجدول2[[#This Row],[سعرالشراء]]</f>
        <v>0</v>
      </c>
    </row>
    <row r="215" spans="1:16" ht="31.5" customHeight="1" thickTop="1" thickBot="1" x14ac:dyDescent="0.35">
      <c r="A215" s="123" t="str">
        <f>IF(B215&lt;&gt;"", ROWS($A$12:A312), "")</f>
        <v/>
      </c>
      <c r="B215" s="57"/>
      <c r="C215" s="57"/>
      <c r="D215" s="58"/>
      <c r="E215" s="59"/>
      <c r="F215" s="57"/>
      <c r="G215" s="62"/>
      <c r="H215" s="67"/>
      <c r="I215" s="57"/>
      <c r="J215" s="57"/>
      <c r="K215" s="57"/>
      <c r="L215" s="57"/>
      <c r="M215" s="95">
        <f>الجدول2[[#This Row],[سعر البيع]]-الجدول2[[#This Row],[ المستلم من العميل]]</f>
        <v>0</v>
      </c>
      <c r="N215" s="57"/>
      <c r="O215" s="95">
        <f>الجدول2[[#This Row],[سعرالشراء]]-N215</f>
        <v>0</v>
      </c>
      <c r="P215" s="118">
        <f>الجدول2[[#This Row],[سعر البيع]]-الجدول2[[#This Row],[سعرالشراء]]</f>
        <v>0</v>
      </c>
    </row>
    <row r="216" spans="1:16" ht="31.5" customHeight="1" thickTop="1" thickBot="1" x14ac:dyDescent="0.35">
      <c r="A216" s="123" t="str">
        <f>IF(B216&lt;&gt;"", ROWS($A$12:A312), "")</f>
        <v/>
      </c>
      <c r="B216" s="57"/>
      <c r="C216" s="57"/>
      <c r="D216" s="58"/>
      <c r="E216" s="59"/>
      <c r="F216" s="57"/>
      <c r="G216" s="62"/>
      <c r="H216" s="67"/>
      <c r="I216" s="57"/>
      <c r="J216" s="57"/>
      <c r="K216" s="57"/>
      <c r="L216" s="57"/>
      <c r="M216" s="95">
        <f>الجدول2[[#This Row],[سعر البيع]]-الجدول2[[#This Row],[ المستلم من العميل]]</f>
        <v>0</v>
      </c>
      <c r="N216" s="57"/>
      <c r="O216" s="95">
        <f>الجدول2[[#This Row],[سعرالشراء]]-N216</f>
        <v>0</v>
      </c>
      <c r="P216" s="118">
        <f>الجدول2[[#This Row],[سعر البيع]]-الجدول2[[#This Row],[سعرالشراء]]</f>
        <v>0</v>
      </c>
    </row>
    <row r="217" spans="1:16" ht="31.5" customHeight="1" thickTop="1" thickBot="1" x14ac:dyDescent="0.35">
      <c r="A217" s="123" t="str">
        <f>IF(B217&lt;&gt;"", ROWS($A$12:A312), "")</f>
        <v/>
      </c>
      <c r="B217" s="57"/>
      <c r="C217" s="57"/>
      <c r="D217" s="58"/>
      <c r="E217" s="59"/>
      <c r="F217" s="57"/>
      <c r="G217" s="62"/>
      <c r="H217" s="67"/>
      <c r="I217" s="57"/>
      <c r="J217" s="57"/>
      <c r="K217" s="57"/>
      <c r="L217" s="57"/>
      <c r="M217" s="95">
        <f>الجدول2[[#This Row],[سعر البيع]]-الجدول2[[#This Row],[ المستلم من العميل]]</f>
        <v>0</v>
      </c>
      <c r="N217" s="57"/>
      <c r="O217" s="95">
        <f>الجدول2[[#This Row],[سعرالشراء]]-N217</f>
        <v>0</v>
      </c>
      <c r="P217" s="118">
        <f>الجدول2[[#This Row],[سعر البيع]]-الجدول2[[#This Row],[سعرالشراء]]</f>
        <v>0</v>
      </c>
    </row>
    <row r="218" spans="1:16" ht="31.5" customHeight="1" thickTop="1" thickBot="1" x14ac:dyDescent="0.35">
      <c r="A218" s="123" t="str">
        <f>IF(B218&lt;&gt;"", ROWS($A$12:A312), "")</f>
        <v/>
      </c>
      <c r="B218" s="57"/>
      <c r="C218" s="57"/>
      <c r="D218" s="58"/>
      <c r="E218" s="59"/>
      <c r="F218" s="57"/>
      <c r="G218" s="62"/>
      <c r="H218" s="67"/>
      <c r="I218" s="57"/>
      <c r="J218" s="57"/>
      <c r="K218" s="57"/>
      <c r="L218" s="57"/>
      <c r="M218" s="95">
        <f>الجدول2[[#This Row],[سعر البيع]]-الجدول2[[#This Row],[ المستلم من العميل]]</f>
        <v>0</v>
      </c>
      <c r="N218" s="57"/>
      <c r="O218" s="95">
        <f>الجدول2[[#This Row],[سعرالشراء]]-N218</f>
        <v>0</v>
      </c>
      <c r="P218" s="118">
        <f>الجدول2[[#This Row],[سعر البيع]]-الجدول2[[#This Row],[سعرالشراء]]</f>
        <v>0</v>
      </c>
    </row>
    <row r="219" spans="1:16" ht="31.5" customHeight="1" thickTop="1" thickBot="1" x14ac:dyDescent="0.35">
      <c r="A219" s="123" t="str">
        <f>IF(B219&lt;&gt;"", ROWS($A$12:A312), "")</f>
        <v/>
      </c>
      <c r="B219" s="57"/>
      <c r="C219" s="57"/>
      <c r="D219" s="58"/>
      <c r="E219" s="59"/>
      <c r="F219" s="57"/>
      <c r="G219" s="62"/>
      <c r="H219" s="67"/>
      <c r="I219" s="57"/>
      <c r="J219" s="57"/>
      <c r="K219" s="57"/>
      <c r="L219" s="57"/>
      <c r="M219" s="95">
        <f>الجدول2[[#This Row],[سعر البيع]]-الجدول2[[#This Row],[ المستلم من العميل]]</f>
        <v>0</v>
      </c>
      <c r="N219" s="57"/>
      <c r="O219" s="95">
        <f>الجدول2[[#This Row],[سعرالشراء]]-N219</f>
        <v>0</v>
      </c>
      <c r="P219" s="118">
        <f>الجدول2[[#This Row],[سعر البيع]]-الجدول2[[#This Row],[سعرالشراء]]</f>
        <v>0</v>
      </c>
    </row>
    <row r="220" spans="1:16" ht="31.5" customHeight="1" thickTop="1" thickBot="1" x14ac:dyDescent="0.35">
      <c r="A220" s="123" t="str">
        <f>IF(B220&lt;&gt;"", ROWS($A$12:A312), "")</f>
        <v/>
      </c>
      <c r="B220" s="57"/>
      <c r="C220" s="57"/>
      <c r="D220" s="58"/>
      <c r="E220" s="59"/>
      <c r="F220" s="57"/>
      <c r="G220" s="62"/>
      <c r="H220" s="67"/>
      <c r="I220" s="57"/>
      <c r="J220" s="57"/>
      <c r="K220" s="57"/>
      <c r="L220" s="57"/>
      <c r="M220" s="95">
        <f>الجدول2[[#This Row],[سعر البيع]]-الجدول2[[#This Row],[ المستلم من العميل]]</f>
        <v>0</v>
      </c>
      <c r="N220" s="57"/>
      <c r="O220" s="95">
        <f>الجدول2[[#This Row],[سعرالشراء]]-N220</f>
        <v>0</v>
      </c>
      <c r="P220" s="118">
        <f>الجدول2[[#This Row],[سعر البيع]]-الجدول2[[#This Row],[سعرالشراء]]</f>
        <v>0</v>
      </c>
    </row>
    <row r="221" spans="1:16" ht="31.5" customHeight="1" thickTop="1" thickBot="1" x14ac:dyDescent="0.35">
      <c r="A221" s="123" t="str">
        <f>IF(B221&lt;&gt;"", ROWS($A$12:A312), "")</f>
        <v/>
      </c>
      <c r="B221" s="57"/>
      <c r="C221" s="57"/>
      <c r="D221" s="58"/>
      <c r="E221" s="59"/>
      <c r="F221" s="57"/>
      <c r="G221" s="62"/>
      <c r="H221" s="67"/>
      <c r="I221" s="57"/>
      <c r="J221" s="57"/>
      <c r="K221" s="57"/>
      <c r="L221" s="57"/>
      <c r="M221" s="95">
        <f>الجدول2[[#This Row],[سعر البيع]]-الجدول2[[#This Row],[ المستلم من العميل]]</f>
        <v>0</v>
      </c>
      <c r="N221" s="57"/>
      <c r="O221" s="95">
        <f>الجدول2[[#This Row],[سعرالشراء]]-N221</f>
        <v>0</v>
      </c>
      <c r="P221" s="118">
        <f>الجدول2[[#This Row],[سعر البيع]]-الجدول2[[#This Row],[سعرالشراء]]</f>
        <v>0</v>
      </c>
    </row>
    <row r="222" spans="1:16" ht="31.5" customHeight="1" thickTop="1" thickBot="1" x14ac:dyDescent="0.35">
      <c r="A222" s="123" t="str">
        <f>IF(B222&lt;&gt;"", ROWS($A$12:A312), "")</f>
        <v/>
      </c>
      <c r="B222" s="57"/>
      <c r="C222" s="57"/>
      <c r="D222" s="58"/>
      <c r="E222" s="59"/>
      <c r="F222" s="57"/>
      <c r="G222" s="62"/>
      <c r="H222" s="67"/>
      <c r="I222" s="57"/>
      <c r="J222" s="57"/>
      <c r="K222" s="57"/>
      <c r="L222" s="57"/>
      <c r="M222" s="95">
        <f>الجدول2[[#This Row],[سعر البيع]]-الجدول2[[#This Row],[ المستلم من العميل]]</f>
        <v>0</v>
      </c>
      <c r="N222" s="57"/>
      <c r="O222" s="95">
        <f>الجدول2[[#This Row],[سعرالشراء]]-N222</f>
        <v>0</v>
      </c>
      <c r="P222" s="118">
        <f>الجدول2[[#This Row],[سعر البيع]]-الجدول2[[#This Row],[سعرالشراء]]</f>
        <v>0</v>
      </c>
    </row>
    <row r="223" spans="1:16" ht="31.5" customHeight="1" thickTop="1" thickBot="1" x14ac:dyDescent="0.35">
      <c r="A223" s="123" t="str">
        <f>IF(B223&lt;&gt;"", ROWS($A$12:A312), "")</f>
        <v/>
      </c>
      <c r="B223" s="57"/>
      <c r="C223" s="57"/>
      <c r="D223" s="58"/>
      <c r="E223" s="59"/>
      <c r="F223" s="57"/>
      <c r="G223" s="62"/>
      <c r="H223" s="67"/>
      <c r="I223" s="57"/>
      <c r="J223" s="57"/>
      <c r="K223" s="57"/>
      <c r="L223" s="57"/>
      <c r="M223" s="95">
        <f>الجدول2[[#This Row],[سعر البيع]]-الجدول2[[#This Row],[ المستلم من العميل]]</f>
        <v>0</v>
      </c>
      <c r="N223" s="57"/>
      <c r="O223" s="95">
        <f>الجدول2[[#This Row],[سعرالشراء]]-N223</f>
        <v>0</v>
      </c>
      <c r="P223" s="118">
        <f>الجدول2[[#This Row],[سعر البيع]]-الجدول2[[#This Row],[سعرالشراء]]</f>
        <v>0</v>
      </c>
    </row>
    <row r="224" spans="1:16" ht="31.5" customHeight="1" thickTop="1" thickBot="1" x14ac:dyDescent="0.35">
      <c r="A224" s="123" t="str">
        <f>IF(B224&lt;&gt;"", ROWS($A$12:A312), "")</f>
        <v/>
      </c>
      <c r="B224" s="57"/>
      <c r="C224" s="57"/>
      <c r="D224" s="58"/>
      <c r="E224" s="59"/>
      <c r="F224" s="57"/>
      <c r="G224" s="62"/>
      <c r="H224" s="67"/>
      <c r="I224" s="57"/>
      <c r="J224" s="57"/>
      <c r="K224" s="57"/>
      <c r="L224" s="57"/>
      <c r="M224" s="95">
        <f>الجدول2[[#This Row],[سعر البيع]]-الجدول2[[#This Row],[ المستلم من العميل]]</f>
        <v>0</v>
      </c>
      <c r="N224" s="57"/>
      <c r="O224" s="95">
        <f>الجدول2[[#This Row],[سعرالشراء]]-N224</f>
        <v>0</v>
      </c>
      <c r="P224" s="118">
        <f>الجدول2[[#This Row],[سعر البيع]]-الجدول2[[#This Row],[سعرالشراء]]</f>
        <v>0</v>
      </c>
    </row>
    <row r="225" spans="1:16" ht="31.5" customHeight="1" thickTop="1" thickBot="1" x14ac:dyDescent="0.35">
      <c r="A225" s="123" t="str">
        <f>IF(B225&lt;&gt;"", ROWS($A$12:A312), "")</f>
        <v/>
      </c>
      <c r="B225" s="57"/>
      <c r="C225" s="57"/>
      <c r="D225" s="58"/>
      <c r="E225" s="59"/>
      <c r="F225" s="57"/>
      <c r="G225" s="62"/>
      <c r="H225" s="67"/>
      <c r="I225" s="57"/>
      <c r="J225" s="57"/>
      <c r="K225" s="57"/>
      <c r="L225" s="57"/>
      <c r="M225" s="95">
        <f>الجدول2[[#This Row],[سعر البيع]]-الجدول2[[#This Row],[ المستلم من العميل]]</f>
        <v>0</v>
      </c>
      <c r="N225" s="57"/>
      <c r="O225" s="95">
        <f>الجدول2[[#This Row],[سعرالشراء]]-N225</f>
        <v>0</v>
      </c>
      <c r="P225" s="118">
        <f>الجدول2[[#This Row],[سعر البيع]]-الجدول2[[#This Row],[سعرالشراء]]</f>
        <v>0</v>
      </c>
    </row>
    <row r="226" spans="1:16" ht="31.5" customHeight="1" thickTop="1" thickBot="1" x14ac:dyDescent="0.35">
      <c r="A226" s="123" t="str">
        <f>IF(B226&lt;&gt;"", ROWS($A$12:A312), "")</f>
        <v/>
      </c>
      <c r="B226" s="57"/>
      <c r="C226" s="57"/>
      <c r="D226" s="58"/>
      <c r="E226" s="59"/>
      <c r="F226" s="57"/>
      <c r="G226" s="62"/>
      <c r="H226" s="67"/>
      <c r="I226" s="57"/>
      <c r="J226" s="57"/>
      <c r="K226" s="57"/>
      <c r="L226" s="57"/>
      <c r="M226" s="95">
        <f>الجدول2[[#This Row],[سعر البيع]]-الجدول2[[#This Row],[ المستلم من العميل]]</f>
        <v>0</v>
      </c>
      <c r="N226" s="57"/>
      <c r="O226" s="95">
        <f>الجدول2[[#This Row],[سعرالشراء]]-N226</f>
        <v>0</v>
      </c>
      <c r="P226" s="118">
        <f>الجدول2[[#This Row],[سعر البيع]]-الجدول2[[#This Row],[سعرالشراء]]</f>
        <v>0</v>
      </c>
    </row>
    <row r="227" spans="1:16" ht="31.5" customHeight="1" thickTop="1" thickBot="1" x14ac:dyDescent="0.35">
      <c r="A227" s="123" t="str">
        <f>IF(B227&lt;&gt;"", ROWS($A$12:A312), "")</f>
        <v/>
      </c>
      <c r="B227" s="57"/>
      <c r="C227" s="57"/>
      <c r="D227" s="58"/>
      <c r="E227" s="59"/>
      <c r="F227" s="57"/>
      <c r="G227" s="62"/>
      <c r="H227" s="67"/>
      <c r="I227" s="57"/>
      <c r="J227" s="57"/>
      <c r="K227" s="57"/>
      <c r="L227" s="57"/>
      <c r="M227" s="95">
        <f>الجدول2[[#This Row],[سعر البيع]]-الجدول2[[#This Row],[ المستلم من العميل]]</f>
        <v>0</v>
      </c>
      <c r="N227" s="57"/>
      <c r="O227" s="95">
        <f>الجدول2[[#This Row],[سعرالشراء]]-N227</f>
        <v>0</v>
      </c>
      <c r="P227" s="118">
        <f>الجدول2[[#This Row],[سعر البيع]]-الجدول2[[#This Row],[سعرالشراء]]</f>
        <v>0</v>
      </c>
    </row>
    <row r="228" spans="1:16" ht="31.5" customHeight="1" thickTop="1" thickBot="1" x14ac:dyDescent="0.35">
      <c r="A228" s="123" t="str">
        <f>IF(B228&lt;&gt;"", ROWS($A$12:A312), "")</f>
        <v/>
      </c>
      <c r="B228" s="57"/>
      <c r="C228" s="57"/>
      <c r="D228" s="58"/>
      <c r="E228" s="59"/>
      <c r="F228" s="57"/>
      <c r="G228" s="62"/>
      <c r="H228" s="67"/>
      <c r="I228" s="57"/>
      <c r="J228" s="57"/>
      <c r="K228" s="57"/>
      <c r="L228" s="57"/>
      <c r="M228" s="95">
        <f>الجدول2[[#This Row],[سعر البيع]]-الجدول2[[#This Row],[ المستلم من العميل]]</f>
        <v>0</v>
      </c>
      <c r="N228" s="57"/>
      <c r="O228" s="95">
        <f>الجدول2[[#This Row],[سعرالشراء]]-N228</f>
        <v>0</v>
      </c>
      <c r="P228" s="118">
        <f>الجدول2[[#This Row],[سعر البيع]]-الجدول2[[#This Row],[سعرالشراء]]</f>
        <v>0</v>
      </c>
    </row>
    <row r="229" spans="1:16" ht="31.5" customHeight="1" thickTop="1" thickBot="1" x14ac:dyDescent="0.35">
      <c r="A229" s="123" t="str">
        <f>IF(B229&lt;&gt;"", ROWS($A$12:A312), "")</f>
        <v/>
      </c>
      <c r="B229" s="57"/>
      <c r="C229" s="57"/>
      <c r="D229" s="58"/>
      <c r="E229" s="59"/>
      <c r="F229" s="57"/>
      <c r="G229" s="62"/>
      <c r="H229" s="67"/>
      <c r="I229" s="57"/>
      <c r="J229" s="57"/>
      <c r="K229" s="57"/>
      <c r="L229" s="57"/>
      <c r="M229" s="95">
        <f>الجدول2[[#This Row],[سعر البيع]]-الجدول2[[#This Row],[ المستلم من العميل]]</f>
        <v>0</v>
      </c>
      <c r="N229" s="57"/>
      <c r="O229" s="95">
        <f>الجدول2[[#This Row],[سعرالشراء]]-N229</f>
        <v>0</v>
      </c>
      <c r="P229" s="118">
        <f>الجدول2[[#This Row],[سعر البيع]]-الجدول2[[#This Row],[سعرالشراء]]</f>
        <v>0</v>
      </c>
    </row>
    <row r="230" spans="1:16" ht="31.5" customHeight="1" thickTop="1" thickBot="1" x14ac:dyDescent="0.35">
      <c r="A230" s="123" t="str">
        <f>IF(B230&lt;&gt;"", ROWS($A$12:A312), "")</f>
        <v/>
      </c>
      <c r="B230" s="57"/>
      <c r="C230" s="57"/>
      <c r="D230" s="58"/>
      <c r="E230" s="59"/>
      <c r="F230" s="57"/>
      <c r="G230" s="62"/>
      <c r="H230" s="67"/>
      <c r="I230" s="57"/>
      <c r="J230" s="57"/>
      <c r="K230" s="57"/>
      <c r="L230" s="57"/>
      <c r="M230" s="95">
        <f>الجدول2[[#This Row],[سعر البيع]]-الجدول2[[#This Row],[ المستلم من العميل]]</f>
        <v>0</v>
      </c>
      <c r="N230" s="57"/>
      <c r="O230" s="95">
        <f>الجدول2[[#This Row],[سعرالشراء]]-N230</f>
        <v>0</v>
      </c>
      <c r="P230" s="118">
        <f>الجدول2[[#This Row],[سعر البيع]]-الجدول2[[#This Row],[سعرالشراء]]</f>
        <v>0</v>
      </c>
    </row>
    <row r="231" spans="1:16" ht="31.5" customHeight="1" thickTop="1" thickBot="1" x14ac:dyDescent="0.35">
      <c r="A231" s="123" t="str">
        <f>IF(B231&lt;&gt;"", ROWS($A$12:A312), "")</f>
        <v/>
      </c>
      <c r="B231" s="57"/>
      <c r="C231" s="57"/>
      <c r="D231" s="58"/>
      <c r="E231" s="59"/>
      <c r="F231" s="57"/>
      <c r="G231" s="62"/>
      <c r="H231" s="67"/>
      <c r="I231" s="57"/>
      <c r="J231" s="57"/>
      <c r="K231" s="57"/>
      <c r="L231" s="57"/>
      <c r="M231" s="95">
        <f>الجدول2[[#This Row],[سعر البيع]]-الجدول2[[#This Row],[ المستلم من العميل]]</f>
        <v>0</v>
      </c>
      <c r="N231" s="57"/>
      <c r="O231" s="95">
        <f>الجدول2[[#This Row],[سعرالشراء]]-N231</f>
        <v>0</v>
      </c>
      <c r="P231" s="118">
        <f>الجدول2[[#This Row],[سعر البيع]]-الجدول2[[#This Row],[سعرالشراء]]</f>
        <v>0</v>
      </c>
    </row>
    <row r="232" spans="1:16" ht="31.5" customHeight="1" thickTop="1" thickBot="1" x14ac:dyDescent="0.35">
      <c r="A232" s="123" t="str">
        <f>IF(B232&lt;&gt;"", ROWS($A$12:A312), "")</f>
        <v/>
      </c>
      <c r="B232" s="57"/>
      <c r="C232" s="57"/>
      <c r="D232" s="58"/>
      <c r="E232" s="59"/>
      <c r="F232" s="57"/>
      <c r="G232" s="62"/>
      <c r="H232" s="67"/>
      <c r="I232" s="57"/>
      <c r="J232" s="57"/>
      <c r="K232" s="57"/>
      <c r="L232" s="57"/>
      <c r="M232" s="95">
        <f>الجدول2[[#This Row],[سعر البيع]]-الجدول2[[#This Row],[ المستلم من العميل]]</f>
        <v>0</v>
      </c>
      <c r="N232" s="57"/>
      <c r="O232" s="95">
        <f>الجدول2[[#This Row],[سعرالشراء]]-N232</f>
        <v>0</v>
      </c>
      <c r="P232" s="118">
        <f>الجدول2[[#This Row],[سعر البيع]]-الجدول2[[#This Row],[سعرالشراء]]</f>
        <v>0</v>
      </c>
    </row>
    <row r="233" spans="1:16" ht="31.5" customHeight="1" thickTop="1" thickBot="1" x14ac:dyDescent="0.35">
      <c r="A233" s="123" t="str">
        <f>IF(B233&lt;&gt;"", ROWS($A$12:A312), "")</f>
        <v/>
      </c>
      <c r="B233" s="57"/>
      <c r="C233" s="57"/>
      <c r="D233" s="58"/>
      <c r="E233" s="59"/>
      <c r="F233" s="57"/>
      <c r="G233" s="62"/>
      <c r="H233" s="67"/>
      <c r="I233" s="57"/>
      <c r="J233" s="57"/>
      <c r="K233" s="57"/>
      <c r="L233" s="57"/>
      <c r="M233" s="95">
        <f>الجدول2[[#This Row],[سعر البيع]]-الجدول2[[#This Row],[ المستلم من العميل]]</f>
        <v>0</v>
      </c>
      <c r="N233" s="57"/>
      <c r="O233" s="95">
        <f>الجدول2[[#This Row],[سعرالشراء]]-N233</f>
        <v>0</v>
      </c>
      <c r="P233" s="118">
        <f>الجدول2[[#This Row],[سعر البيع]]-الجدول2[[#This Row],[سعرالشراء]]</f>
        <v>0</v>
      </c>
    </row>
    <row r="234" spans="1:16" ht="31.5" customHeight="1" thickTop="1" thickBot="1" x14ac:dyDescent="0.35">
      <c r="A234" s="123" t="str">
        <f>IF(B234&lt;&gt;"", ROWS($A$12:A312), "")</f>
        <v/>
      </c>
      <c r="B234" s="57"/>
      <c r="C234" s="57"/>
      <c r="D234" s="58"/>
      <c r="E234" s="59"/>
      <c r="F234" s="57"/>
      <c r="G234" s="62"/>
      <c r="H234" s="67"/>
      <c r="I234" s="57"/>
      <c r="J234" s="57"/>
      <c r="K234" s="57"/>
      <c r="L234" s="57"/>
      <c r="M234" s="95">
        <f>الجدول2[[#This Row],[سعر البيع]]-الجدول2[[#This Row],[ المستلم من العميل]]</f>
        <v>0</v>
      </c>
      <c r="N234" s="57"/>
      <c r="O234" s="95">
        <f>الجدول2[[#This Row],[سعرالشراء]]-N234</f>
        <v>0</v>
      </c>
      <c r="P234" s="118">
        <f>الجدول2[[#This Row],[سعر البيع]]-الجدول2[[#This Row],[سعرالشراء]]</f>
        <v>0</v>
      </c>
    </row>
    <row r="235" spans="1:16" ht="31.5" customHeight="1" thickTop="1" thickBot="1" x14ac:dyDescent="0.35">
      <c r="A235" s="123" t="str">
        <f>IF(B235&lt;&gt;"", ROWS($A$12:A312), "")</f>
        <v/>
      </c>
      <c r="B235" s="57"/>
      <c r="C235" s="57"/>
      <c r="D235" s="58"/>
      <c r="E235" s="59"/>
      <c r="F235" s="57"/>
      <c r="G235" s="62"/>
      <c r="H235" s="67"/>
      <c r="I235" s="57"/>
      <c r="J235" s="57"/>
      <c r="K235" s="57"/>
      <c r="L235" s="57"/>
      <c r="M235" s="95">
        <f>الجدول2[[#This Row],[سعر البيع]]-الجدول2[[#This Row],[ المستلم من العميل]]</f>
        <v>0</v>
      </c>
      <c r="N235" s="57"/>
      <c r="O235" s="95">
        <f>الجدول2[[#This Row],[سعرالشراء]]-N235</f>
        <v>0</v>
      </c>
      <c r="P235" s="118">
        <f>الجدول2[[#This Row],[سعر البيع]]-الجدول2[[#This Row],[سعرالشراء]]</f>
        <v>0</v>
      </c>
    </row>
    <row r="236" spans="1:16" ht="31.5" customHeight="1" thickTop="1" thickBot="1" x14ac:dyDescent="0.35">
      <c r="A236" s="123" t="str">
        <f>IF(B236&lt;&gt;"", ROWS($A$12:A312), "")</f>
        <v/>
      </c>
      <c r="B236" s="57"/>
      <c r="C236" s="57"/>
      <c r="D236" s="58"/>
      <c r="E236" s="59"/>
      <c r="F236" s="57"/>
      <c r="G236" s="62"/>
      <c r="H236" s="67"/>
      <c r="I236" s="57"/>
      <c r="J236" s="57"/>
      <c r="K236" s="57"/>
      <c r="L236" s="57"/>
      <c r="M236" s="95">
        <f>الجدول2[[#This Row],[سعر البيع]]-الجدول2[[#This Row],[ المستلم من العميل]]</f>
        <v>0</v>
      </c>
      <c r="N236" s="57"/>
      <c r="O236" s="95">
        <f>الجدول2[[#This Row],[سعرالشراء]]-N236</f>
        <v>0</v>
      </c>
      <c r="P236" s="118">
        <f>الجدول2[[#This Row],[سعر البيع]]-الجدول2[[#This Row],[سعرالشراء]]</f>
        <v>0</v>
      </c>
    </row>
    <row r="237" spans="1:16" ht="31.5" customHeight="1" thickTop="1" thickBot="1" x14ac:dyDescent="0.35">
      <c r="A237" s="123" t="str">
        <f>IF(B237&lt;&gt;"", ROWS($A$12:A312), "")</f>
        <v/>
      </c>
      <c r="B237" s="57"/>
      <c r="C237" s="57"/>
      <c r="D237" s="58"/>
      <c r="E237" s="59"/>
      <c r="F237" s="57"/>
      <c r="G237" s="62"/>
      <c r="H237" s="67"/>
      <c r="I237" s="57"/>
      <c r="J237" s="57"/>
      <c r="K237" s="57"/>
      <c r="L237" s="57"/>
      <c r="M237" s="95">
        <f>الجدول2[[#This Row],[سعر البيع]]-الجدول2[[#This Row],[ المستلم من العميل]]</f>
        <v>0</v>
      </c>
      <c r="N237" s="57"/>
      <c r="O237" s="95">
        <f>الجدول2[[#This Row],[سعرالشراء]]-N237</f>
        <v>0</v>
      </c>
      <c r="P237" s="118">
        <f>الجدول2[[#This Row],[سعر البيع]]-الجدول2[[#This Row],[سعرالشراء]]</f>
        <v>0</v>
      </c>
    </row>
    <row r="238" spans="1:16" ht="31.5" customHeight="1" thickTop="1" thickBot="1" x14ac:dyDescent="0.35">
      <c r="A238" s="123" t="str">
        <f>IF(B238&lt;&gt;"", ROWS($A$12:A312), "")</f>
        <v/>
      </c>
      <c r="B238" s="57"/>
      <c r="C238" s="57"/>
      <c r="D238" s="58"/>
      <c r="E238" s="59"/>
      <c r="F238" s="57"/>
      <c r="G238" s="62"/>
      <c r="H238" s="67"/>
      <c r="I238" s="57"/>
      <c r="J238" s="57"/>
      <c r="K238" s="57"/>
      <c r="L238" s="57"/>
      <c r="M238" s="95">
        <f>الجدول2[[#This Row],[سعر البيع]]-الجدول2[[#This Row],[ المستلم من العميل]]</f>
        <v>0</v>
      </c>
      <c r="N238" s="57"/>
      <c r="O238" s="95">
        <f>الجدول2[[#This Row],[سعرالشراء]]-N238</f>
        <v>0</v>
      </c>
      <c r="P238" s="118">
        <f>الجدول2[[#This Row],[سعر البيع]]-الجدول2[[#This Row],[سعرالشراء]]</f>
        <v>0</v>
      </c>
    </row>
    <row r="239" spans="1:16" ht="31.5" customHeight="1" thickTop="1" thickBot="1" x14ac:dyDescent="0.35">
      <c r="A239" s="123" t="str">
        <f>IF(B239&lt;&gt;"", ROWS($A$12:A312), "")</f>
        <v/>
      </c>
      <c r="B239" s="57"/>
      <c r="C239" s="57"/>
      <c r="D239" s="58"/>
      <c r="E239" s="59"/>
      <c r="F239" s="57"/>
      <c r="G239" s="62"/>
      <c r="H239" s="67"/>
      <c r="I239" s="57"/>
      <c r="J239" s="57"/>
      <c r="K239" s="57"/>
      <c r="L239" s="57"/>
      <c r="M239" s="95">
        <f>الجدول2[[#This Row],[سعر البيع]]-الجدول2[[#This Row],[ المستلم من العميل]]</f>
        <v>0</v>
      </c>
      <c r="N239" s="57"/>
      <c r="O239" s="95">
        <f>الجدول2[[#This Row],[سعرالشراء]]-N239</f>
        <v>0</v>
      </c>
      <c r="P239" s="118">
        <f>الجدول2[[#This Row],[سعر البيع]]-الجدول2[[#This Row],[سعرالشراء]]</f>
        <v>0</v>
      </c>
    </row>
    <row r="240" spans="1:16" ht="31.5" customHeight="1" thickTop="1" thickBot="1" x14ac:dyDescent="0.35">
      <c r="A240" s="123" t="str">
        <f>IF(B240&lt;&gt;"", ROWS($A$12:A312), "")</f>
        <v/>
      </c>
      <c r="B240" s="57"/>
      <c r="C240" s="57"/>
      <c r="D240" s="58"/>
      <c r="E240" s="59"/>
      <c r="F240" s="57"/>
      <c r="G240" s="62"/>
      <c r="H240" s="67"/>
      <c r="I240" s="57"/>
      <c r="J240" s="57"/>
      <c r="K240" s="57"/>
      <c r="L240" s="57"/>
      <c r="M240" s="95">
        <f>الجدول2[[#This Row],[سعر البيع]]-الجدول2[[#This Row],[ المستلم من العميل]]</f>
        <v>0</v>
      </c>
      <c r="N240" s="57"/>
      <c r="O240" s="95">
        <f>الجدول2[[#This Row],[سعرالشراء]]-N240</f>
        <v>0</v>
      </c>
      <c r="P240" s="118">
        <f>الجدول2[[#This Row],[سعر البيع]]-الجدول2[[#This Row],[سعرالشراء]]</f>
        <v>0</v>
      </c>
    </row>
    <row r="241" spans="1:16" ht="31.5" customHeight="1" thickTop="1" thickBot="1" x14ac:dyDescent="0.35">
      <c r="A241" s="123" t="str">
        <f>IF(B241&lt;&gt;"", ROWS($A$12:A312), "")</f>
        <v/>
      </c>
      <c r="B241" s="57"/>
      <c r="C241" s="57"/>
      <c r="D241" s="58"/>
      <c r="E241" s="59"/>
      <c r="F241" s="57"/>
      <c r="G241" s="62"/>
      <c r="H241" s="67"/>
      <c r="I241" s="57"/>
      <c r="J241" s="57"/>
      <c r="K241" s="57"/>
      <c r="L241" s="57"/>
      <c r="M241" s="95">
        <f>الجدول2[[#This Row],[سعر البيع]]-الجدول2[[#This Row],[ المستلم من العميل]]</f>
        <v>0</v>
      </c>
      <c r="N241" s="57"/>
      <c r="O241" s="95">
        <f>الجدول2[[#This Row],[سعرالشراء]]-N241</f>
        <v>0</v>
      </c>
      <c r="P241" s="118">
        <f>الجدول2[[#This Row],[سعر البيع]]-الجدول2[[#This Row],[سعرالشراء]]</f>
        <v>0</v>
      </c>
    </row>
    <row r="242" spans="1:16" ht="31.5" customHeight="1" thickTop="1" thickBot="1" x14ac:dyDescent="0.35">
      <c r="A242" s="123" t="str">
        <f>IF(B242&lt;&gt;"", ROWS($A$12:A312), "")</f>
        <v/>
      </c>
      <c r="B242" s="57"/>
      <c r="C242" s="57"/>
      <c r="D242" s="58"/>
      <c r="E242" s="59"/>
      <c r="F242" s="57"/>
      <c r="G242" s="62"/>
      <c r="H242" s="67"/>
      <c r="I242" s="57"/>
      <c r="J242" s="57"/>
      <c r="K242" s="57"/>
      <c r="L242" s="57"/>
      <c r="M242" s="95">
        <f>الجدول2[[#This Row],[سعر البيع]]-الجدول2[[#This Row],[ المستلم من العميل]]</f>
        <v>0</v>
      </c>
      <c r="N242" s="57"/>
      <c r="O242" s="95">
        <f>الجدول2[[#This Row],[سعرالشراء]]-N242</f>
        <v>0</v>
      </c>
      <c r="P242" s="118">
        <f>الجدول2[[#This Row],[سعر البيع]]-الجدول2[[#This Row],[سعرالشراء]]</f>
        <v>0</v>
      </c>
    </row>
    <row r="243" spans="1:16" ht="31.5" customHeight="1" thickTop="1" thickBot="1" x14ac:dyDescent="0.35">
      <c r="A243" s="123" t="str">
        <f>IF(B243&lt;&gt;"", ROWS($A$12:A312), "")</f>
        <v/>
      </c>
      <c r="B243" s="57"/>
      <c r="C243" s="57"/>
      <c r="D243" s="58"/>
      <c r="E243" s="59"/>
      <c r="F243" s="57"/>
      <c r="G243" s="62"/>
      <c r="H243" s="67"/>
      <c r="I243" s="57"/>
      <c r="J243" s="57"/>
      <c r="K243" s="57"/>
      <c r="L243" s="57"/>
      <c r="M243" s="95">
        <f>الجدول2[[#This Row],[سعر البيع]]-الجدول2[[#This Row],[ المستلم من العميل]]</f>
        <v>0</v>
      </c>
      <c r="N243" s="57"/>
      <c r="O243" s="95">
        <f>الجدول2[[#This Row],[سعرالشراء]]-N243</f>
        <v>0</v>
      </c>
      <c r="P243" s="118">
        <f>الجدول2[[#This Row],[سعر البيع]]-الجدول2[[#This Row],[سعرالشراء]]</f>
        <v>0</v>
      </c>
    </row>
    <row r="244" spans="1:16" ht="31.5" customHeight="1" thickTop="1" thickBot="1" x14ac:dyDescent="0.35">
      <c r="A244" s="123" t="str">
        <f>IF(B244&lt;&gt;"", ROWS($A$12:A312), "")</f>
        <v/>
      </c>
      <c r="B244" s="57"/>
      <c r="C244" s="57"/>
      <c r="D244" s="58"/>
      <c r="E244" s="59"/>
      <c r="F244" s="57"/>
      <c r="G244" s="62"/>
      <c r="H244" s="67"/>
      <c r="I244" s="57"/>
      <c r="J244" s="57"/>
      <c r="K244" s="57"/>
      <c r="L244" s="57"/>
      <c r="M244" s="95">
        <f>الجدول2[[#This Row],[سعر البيع]]-الجدول2[[#This Row],[ المستلم من العميل]]</f>
        <v>0</v>
      </c>
      <c r="N244" s="57"/>
      <c r="O244" s="95">
        <f>الجدول2[[#This Row],[سعرالشراء]]-N244</f>
        <v>0</v>
      </c>
      <c r="P244" s="118">
        <f>الجدول2[[#This Row],[سعر البيع]]-الجدول2[[#This Row],[سعرالشراء]]</f>
        <v>0</v>
      </c>
    </row>
    <row r="245" spans="1:16" ht="31.5" customHeight="1" thickTop="1" thickBot="1" x14ac:dyDescent="0.35">
      <c r="A245" s="123" t="str">
        <f>IF(B245&lt;&gt;"", ROWS($A$12:A312), "")</f>
        <v/>
      </c>
      <c r="B245" s="57"/>
      <c r="C245" s="57"/>
      <c r="D245" s="58"/>
      <c r="E245" s="59"/>
      <c r="F245" s="57"/>
      <c r="G245" s="62"/>
      <c r="H245" s="67"/>
      <c r="I245" s="57"/>
      <c r="J245" s="57"/>
      <c r="K245" s="57"/>
      <c r="L245" s="57"/>
      <c r="M245" s="95">
        <f>الجدول2[[#This Row],[سعر البيع]]-الجدول2[[#This Row],[ المستلم من العميل]]</f>
        <v>0</v>
      </c>
      <c r="N245" s="57"/>
      <c r="O245" s="95">
        <f>الجدول2[[#This Row],[سعرالشراء]]-N245</f>
        <v>0</v>
      </c>
      <c r="P245" s="118">
        <f>الجدول2[[#This Row],[سعر البيع]]-الجدول2[[#This Row],[سعرالشراء]]</f>
        <v>0</v>
      </c>
    </row>
    <row r="246" spans="1:16" ht="31.5" customHeight="1" thickTop="1" thickBot="1" x14ac:dyDescent="0.35">
      <c r="A246" s="123" t="str">
        <f>IF(B246&lt;&gt;"", ROWS($A$12:A312), "")</f>
        <v/>
      </c>
      <c r="B246" s="57"/>
      <c r="C246" s="57"/>
      <c r="D246" s="58"/>
      <c r="E246" s="59"/>
      <c r="F246" s="57"/>
      <c r="G246" s="62"/>
      <c r="H246" s="67"/>
      <c r="I246" s="57"/>
      <c r="J246" s="57"/>
      <c r="K246" s="57"/>
      <c r="L246" s="57"/>
      <c r="M246" s="95">
        <f>الجدول2[[#This Row],[سعر البيع]]-الجدول2[[#This Row],[ المستلم من العميل]]</f>
        <v>0</v>
      </c>
      <c r="N246" s="57"/>
      <c r="O246" s="95">
        <f>الجدول2[[#This Row],[سعرالشراء]]-N246</f>
        <v>0</v>
      </c>
      <c r="P246" s="118">
        <f>الجدول2[[#This Row],[سعر البيع]]-الجدول2[[#This Row],[سعرالشراء]]</f>
        <v>0</v>
      </c>
    </row>
    <row r="247" spans="1:16" ht="31.5" customHeight="1" thickTop="1" thickBot="1" x14ac:dyDescent="0.35">
      <c r="A247" s="123" t="str">
        <f>IF(B247&lt;&gt;"", ROWS($A$12:A312), "")</f>
        <v/>
      </c>
      <c r="B247" s="57"/>
      <c r="C247" s="57"/>
      <c r="D247" s="58"/>
      <c r="E247" s="59"/>
      <c r="F247" s="57"/>
      <c r="G247" s="62"/>
      <c r="H247" s="67"/>
      <c r="I247" s="57"/>
      <c r="J247" s="57"/>
      <c r="K247" s="57"/>
      <c r="L247" s="57"/>
      <c r="M247" s="95">
        <f>الجدول2[[#This Row],[سعر البيع]]-الجدول2[[#This Row],[ المستلم من العميل]]</f>
        <v>0</v>
      </c>
      <c r="N247" s="57"/>
      <c r="O247" s="95">
        <f>الجدول2[[#This Row],[سعرالشراء]]-N247</f>
        <v>0</v>
      </c>
      <c r="P247" s="118">
        <f>الجدول2[[#This Row],[سعر البيع]]-الجدول2[[#This Row],[سعرالشراء]]</f>
        <v>0</v>
      </c>
    </row>
    <row r="248" spans="1:16" ht="31.5" customHeight="1" thickTop="1" thickBot="1" x14ac:dyDescent="0.35">
      <c r="A248" s="123" t="str">
        <f>IF(B248&lt;&gt;"", ROWS($A$12:A312), "")</f>
        <v/>
      </c>
      <c r="B248" s="57"/>
      <c r="C248" s="57"/>
      <c r="D248" s="58"/>
      <c r="E248" s="59"/>
      <c r="F248" s="57"/>
      <c r="G248" s="62"/>
      <c r="H248" s="67"/>
      <c r="I248" s="57"/>
      <c r="J248" s="57"/>
      <c r="K248" s="57"/>
      <c r="L248" s="57"/>
      <c r="M248" s="95">
        <f>الجدول2[[#This Row],[سعر البيع]]-الجدول2[[#This Row],[ المستلم من العميل]]</f>
        <v>0</v>
      </c>
      <c r="N248" s="57"/>
      <c r="O248" s="95">
        <f>الجدول2[[#This Row],[سعرالشراء]]-N248</f>
        <v>0</v>
      </c>
      <c r="P248" s="118">
        <f>الجدول2[[#This Row],[سعر البيع]]-الجدول2[[#This Row],[سعرالشراء]]</f>
        <v>0</v>
      </c>
    </row>
    <row r="249" spans="1:16" ht="31.5" customHeight="1" thickTop="1" thickBot="1" x14ac:dyDescent="0.35">
      <c r="A249" s="123" t="str">
        <f>IF(B249&lt;&gt;"", ROWS($A$12:A312), "")</f>
        <v/>
      </c>
      <c r="B249" s="57"/>
      <c r="C249" s="57"/>
      <c r="D249" s="58"/>
      <c r="E249" s="59"/>
      <c r="F249" s="57"/>
      <c r="G249" s="62"/>
      <c r="H249" s="67"/>
      <c r="I249" s="57"/>
      <c r="J249" s="57"/>
      <c r="K249" s="57"/>
      <c r="L249" s="57"/>
      <c r="M249" s="95">
        <f>الجدول2[[#This Row],[سعر البيع]]-الجدول2[[#This Row],[ المستلم من العميل]]</f>
        <v>0</v>
      </c>
      <c r="N249" s="57"/>
      <c r="O249" s="95">
        <f>الجدول2[[#This Row],[سعرالشراء]]-N249</f>
        <v>0</v>
      </c>
      <c r="P249" s="118">
        <f>الجدول2[[#This Row],[سعر البيع]]-الجدول2[[#This Row],[سعرالشراء]]</f>
        <v>0</v>
      </c>
    </row>
    <row r="250" spans="1:16" ht="31.5" customHeight="1" thickTop="1" thickBot="1" x14ac:dyDescent="0.35">
      <c r="A250" s="123" t="str">
        <f>IF(B250&lt;&gt;"", ROWS($A$12:A312), "")</f>
        <v/>
      </c>
      <c r="B250" s="57"/>
      <c r="C250" s="57"/>
      <c r="D250" s="58"/>
      <c r="E250" s="59"/>
      <c r="F250" s="57"/>
      <c r="G250" s="62"/>
      <c r="H250" s="67"/>
      <c r="I250" s="57"/>
      <c r="J250" s="57"/>
      <c r="K250" s="57"/>
      <c r="L250" s="57"/>
      <c r="M250" s="95">
        <f>الجدول2[[#This Row],[سعر البيع]]-الجدول2[[#This Row],[ المستلم من العميل]]</f>
        <v>0</v>
      </c>
      <c r="N250" s="57"/>
      <c r="O250" s="95">
        <f>الجدول2[[#This Row],[سعرالشراء]]-N250</f>
        <v>0</v>
      </c>
      <c r="P250" s="118">
        <f>الجدول2[[#This Row],[سعر البيع]]-الجدول2[[#This Row],[سعرالشراء]]</f>
        <v>0</v>
      </c>
    </row>
    <row r="251" spans="1:16" ht="31.5" customHeight="1" thickTop="1" thickBot="1" x14ac:dyDescent="0.35">
      <c r="A251" s="123" t="str">
        <f>IF(B251&lt;&gt;"", ROWS($A$12:A312), "")</f>
        <v/>
      </c>
      <c r="B251" s="57"/>
      <c r="C251" s="57"/>
      <c r="D251" s="58"/>
      <c r="E251" s="59"/>
      <c r="F251" s="57"/>
      <c r="G251" s="62"/>
      <c r="H251" s="67"/>
      <c r="I251" s="57"/>
      <c r="J251" s="57"/>
      <c r="K251" s="57"/>
      <c r="L251" s="57"/>
      <c r="M251" s="95">
        <f>الجدول2[[#This Row],[سعر البيع]]-الجدول2[[#This Row],[ المستلم من العميل]]</f>
        <v>0</v>
      </c>
      <c r="N251" s="57"/>
      <c r="O251" s="95">
        <f>الجدول2[[#This Row],[سعرالشراء]]-N251</f>
        <v>0</v>
      </c>
      <c r="P251" s="118">
        <f>الجدول2[[#This Row],[سعر البيع]]-الجدول2[[#This Row],[سعرالشراء]]</f>
        <v>0</v>
      </c>
    </row>
    <row r="252" spans="1:16" ht="31.5" customHeight="1" thickTop="1" thickBot="1" x14ac:dyDescent="0.35">
      <c r="A252" s="123" t="str">
        <f>IF(B252&lt;&gt;"", ROWS($A$12:A312), "")</f>
        <v/>
      </c>
      <c r="B252" s="57"/>
      <c r="C252" s="57"/>
      <c r="D252" s="58"/>
      <c r="E252" s="59"/>
      <c r="F252" s="57"/>
      <c r="G252" s="62"/>
      <c r="H252" s="67"/>
      <c r="I252" s="57"/>
      <c r="J252" s="57"/>
      <c r="K252" s="57"/>
      <c r="L252" s="57"/>
      <c r="M252" s="95">
        <f>الجدول2[[#This Row],[سعر البيع]]-الجدول2[[#This Row],[ المستلم من العميل]]</f>
        <v>0</v>
      </c>
      <c r="N252" s="57"/>
      <c r="O252" s="95">
        <f>الجدول2[[#This Row],[سعرالشراء]]-N252</f>
        <v>0</v>
      </c>
      <c r="P252" s="118">
        <f>الجدول2[[#This Row],[سعر البيع]]-الجدول2[[#This Row],[سعرالشراء]]</f>
        <v>0</v>
      </c>
    </row>
    <row r="253" spans="1:16" ht="31.5" customHeight="1" thickTop="1" thickBot="1" x14ac:dyDescent="0.35">
      <c r="A253" s="123" t="str">
        <f>IF(B253&lt;&gt;"", ROWS($A$12:A312), "")</f>
        <v/>
      </c>
      <c r="B253" s="57"/>
      <c r="C253" s="57"/>
      <c r="D253" s="58"/>
      <c r="E253" s="59"/>
      <c r="F253" s="57"/>
      <c r="G253" s="62"/>
      <c r="H253" s="67"/>
      <c r="I253" s="57"/>
      <c r="J253" s="57"/>
      <c r="K253" s="57"/>
      <c r="L253" s="57"/>
      <c r="M253" s="95">
        <f>الجدول2[[#This Row],[سعر البيع]]-الجدول2[[#This Row],[ المستلم من العميل]]</f>
        <v>0</v>
      </c>
      <c r="N253" s="57"/>
      <c r="O253" s="95">
        <f>الجدول2[[#This Row],[سعرالشراء]]-N253</f>
        <v>0</v>
      </c>
      <c r="P253" s="118">
        <f>الجدول2[[#This Row],[سعر البيع]]-الجدول2[[#This Row],[سعرالشراء]]</f>
        <v>0</v>
      </c>
    </row>
    <row r="254" spans="1:16" ht="31.5" customHeight="1" thickTop="1" thickBot="1" x14ac:dyDescent="0.35">
      <c r="A254" s="123" t="str">
        <f>IF(B254&lt;&gt;"", ROWS($A$12:A312), "")</f>
        <v/>
      </c>
      <c r="B254" s="57"/>
      <c r="C254" s="57"/>
      <c r="D254" s="58"/>
      <c r="E254" s="59"/>
      <c r="F254" s="57"/>
      <c r="G254" s="62"/>
      <c r="H254" s="67"/>
      <c r="I254" s="57"/>
      <c r="J254" s="57"/>
      <c r="K254" s="57"/>
      <c r="L254" s="57"/>
      <c r="M254" s="95">
        <f>الجدول2[[#This Row],[سعر البيع]]-الجدول2[[#This Row],[ المستلم من العميل]]</f>
        <v>0</v>
      </c>
      <c r="N254" s="57"/>
      <c r="O254" s="95">
        <f>الجدول2[[#This Row],[سعرالشراء]]-N254</f>
        <v>0</v>
      </c>
      <c r="P254" s="118">
        <f>الجدول2[[#This Row],[سعر البيع]]-الجدول2[[#This Row],[سعرالشراء]]</f>
        <v>0</v>
      </c>
    </row>
    <row r="255" spans="1:16" ht="31.5" customHeight="1" thickTop="1" thickBot="1" x14ac:dyDescent="0.35">
      <c r="A255" s="123" t="str">
        <f>IF(B255&lt;&gt;"", ROWS($A$12:A312), "")</f>
        <v/>
      </c>
      <c r="B255" s="57"/>
      <c r="C255" s="57"/>
      <c r="D255" s="58"/>
      <c r="E255" s="59"/>
      <c r="F255" s="57"/>
      <c r="G255" s="62"/>
      <c r="H255" s="67"/>
      <c r="I255" s="57"/>
      <c r="J255" s="57"/>
      <c r="K255" s="57"/>
      <c r="L255" s="57"/>
      <c r="M255" s="95">
        <f>الجدول2[[#This Row],[سعر البيع]]-الجدول2[[#This Row],[ المستلم من العميل]]</f>
        <v>0</v>
      </c>
      <c r="N255" s="57"/>
      <c r="O255" s="95">
        <f>الجدول2[[#This Row],[سعرالشراء]]-N255</f>
        <v>0</v>
      </c>
      <c r="P255" s="118">
        <f>الجدول2[[#This Row],[سعر البيع]]-الجدول2[[#This Row],[سعرالشراء]]</f>
        <v>0</v>
      </c>
    </row>
    <row r="256" spans="1:16" ht="31.5" customHeight="1" thickTop="1" thickBot="1" x14ac:dyDescent="0.35">
      <c r="A256" s="123" t="str">
        <f>IF(B256&lt;&gt;"", ROWS($A$12:A312), "")</f>
        <v/>
      </c>
      <c r="B256" s="57"/>
      <c r="C256" s="57"/>
      <c r="D256" s="58"/>
      <c r="E256" s="59"/>
      <c r="F256" s="57"/>
      <c r="G256" s="62"/>
      <c r="H256" s="67"/>
      <c r="I256" s="57"/>
      <c r="J256" s="57"/>
      <c r="K256" s="57"/>
      <c r="L256" s="57"/>
      <c r="M256" s="95">
        <f>الجدول2[[#This Row],[سعر البيع]]-الجدول2[[#This Row],[ المستلم من العميل]]</f>
        <v>0</v>
      </c>
      <c r="N256" s="57"/>
      <c r="O256" s="95">
        <f>الجدول2[[#This Row],[سعرالشراء]]-N256</f>
        <v>0</v>
      </c>
      <c r="P256" s="118">
        <f>الجدول2[[#This Row],[سعر البيع]]-الجدول2[[#This Row],[سعرالشراء]]</f>
        <v>0</v>
      </c>
    </row>
    <row r="257" spans="1:16" ht="31.5" customHeight="1" thickTop="1" thickBot="1" x14ac:dyDescent="0.35">
      <c r="A257" s="123" t="str">
        <f>IF(B257&lt;&gt;"", ROWS($A$12:A312), "")</f>
        <v/>
      </c>
      <c r="B257" s="57"/>
      <c r="C257" s="57"/>
      <c r="D257" s="58"/>
      <c r="E257" s="59"/>
      <c r="F257" s="57"/>
      <c r="G257" s="62"/>
      <c r="H257" s="67"/>
      <c r="I257" s="57"/>
      <c r="J257" s="57"/>
      <c r="K257" s="57"/>
      <c r="L257" s="57"/>
      <c r="M257" s="95">
        <f>الجدول2[[#This Row],[سعر البيع]]-الجدول2[[#This Row],[ المستلم من العميل]]</f>
        <v>0</v>
      </c>
      <c r="N257" s="57"/>
      <c r="O257" s="95">
        <f>الجدول2[[#This Row],[سعرالشراء]]-N257</f>
        <v>0</v>
      </c>
      <c r="P257" s="118">
        <f>الجدول2[[#This Row],[سعر البيع]]-الجدول2[[#This Row],[سعرالشراء]]</f>
        <v>0</v>
      </c>
    </row>
    <row r="258" spans="1:16" ht="31.5" customHeight="1" thickTop="1" thickBot="1" x14ac:dyDescent="0.35">
      <c r="A258" s="123" t="str">
        <f>IF(B258&lt;&gt;"", ROWS($A$12:A312), "")</f>
        <v/>
      </c>
      <c r="B258" s="57"/>
      <c r="C258" s="57"/>
      <c r="D258" s="58"/>
      <c r="E258" s="59"/>
      <c r="F258" s="57"/>
      <c r="G258" s="62"/>
      <c r="H258" s="67"/>
      <c r="I258" s="57"/>
      <c r="J258" s="57"/>
      <c r="K258" s="57"/>
      <c r="L258" s="57"/>
      <c r="M258" s="95">
        <f>الجدول2[[#This Row],[سعر البيع]]-الجدول2[[#This Row],[ المستلم من العميل]]</f>
        <v>0</v>
      </c>
      <c r="N258" s="57"/>
      <c r="O258" s="95">
        <f>الجدول2[[#This Row],[سعرالشراء]]-N258</f>
        <v>0</v>
      </c>
      <c r="P258" s="118">
        <f>الجدول2[[#This Row],[سعر البيع]]-الجدول2[[#This Row],[سعرالشراء]]</f>
        <v>0</v>
      </c>
    </row>
    <row r="259" spans="1:16" ht="31.5" customHeight="1" thickTop="1" thickBot="1" x14ac:dyDescent="0.35">
      <c r="A259" s="123" t="str">
        <f>IF(B259&lt;&gt;"", ROWS($A$12:A312), "")</f>
        <v/>
      </c>
      <c r="B259" s="57"/>
      <c r="C259" s="57"/>
      <c r="D259" s="58"/>
      <c r="E259" s="59"/>
      <c r="F259" s="57"/>
      <c r="G259" s="62"/>
      <c r="H259" s="67"/>
      <c r="I259" s="57"/>
      <c r="J259" s="57"/>
      <c r="K259" s="57"/>
      <c r="L259" s="57"/>
      <c r="M259" s="95">
        <f>الجدول2[[#This Row],[سعر البيع]]-الجدول2[[#This Row],[ المستلم من العميل]]</f>
        <v>0</v>
      </c>
      <c r="N259" s="57"/>
      <c r="O259" s="95">
        <f>الجدول2[[#This Row],[سعرالشراء]]-N259</f>
        <v>0</v>
      </c>
      <c r="P259" s="118">
        <f>الجدول2[[#This Row],[سعر البيع]]-الجدول2[[#This Row],[سعرالشراء]]</f>
        <v>0</v>
      </c>
    </row>
    <row r="260" spans="1:16" ht="31.5" customHeight="1" thickTop="1" thickBot="1" x14ac:dyDescent="0.35">
      <c r="A260" s="123" t="str">
        <f>IF(B260&lt;&gt;"", ROWS($A$12:A312), "")</f>
        <v/>
      </c>
      <c r="B260" s="57"/>
      <c r="C260" s="57"/>
      <c r="D260" s="58"/>
      <c r="E260" s="59"/>
      <c r="F260" s="57"/>
      <c r="G260" s="62"/>
      <c r="H260" s="67"/>
      <c r="I260" s="57"/>
      <c r="J260" s="57"/>
      <c r="K260" s="57"/>
      <c r="L260" s="57"/>
      <c r="M260" s="95">
        <f>الجدول2[[#This Row],[سعر البيع]]-الجدول2[[#This Row],[ المستلم من العميل]]</f>
        <v>0</v>
      </c>
      <c r="N260" s="57"/>
      <c r="O260" s="95">
        <f>الجدول2[[#This Row],[سعرالشراء]]-N260</f>
        <v>0</v>
      </c>
      <c r="P260" s="118">
        <f>الجدول2[[#This Row],[سعر البيع]]-الجدول2[[#This Row],[سعرالشراء]]</f>
        <v>0</v>
      </c>
    </row>
    <row r="261" spans="1:16" ht="31.5" customHeight="1" thickTop="1" thickBot="1" x14ac:dyDescent="0.35">
      <c r="A261" s="123" t="str">
        <f>IF(B261&lt;&gt;"", ROWS($A$12:A312), "")</f>
        <v/>
      </c>
      <c r="B261" s="57"/>
      <c r="C261" s="57"/>
      <c r="D261" s="58"/>
      <c r="E261" s="59"/>
      <c r="F261" s="57"/>
      <c r="G261" s="62"/>
      <c r="H261" s="67"/>
      <c r="I261" s="57"/>
      <c r="J261" s="57"/>
      <c r="K261" s="57"/>
      <c r="L261" s="57"/>
      <c r="M261" s="95">
        <f>الجدول2[[#This Row],[سعر البيع]]-الجدول2[[#This Row],[ المستلم من العميل]]</f>
        <v>0</v>
      </c>
      <c r="N261" s="57"/>
      <c r="O261" s="95">
        <f>الجدول2[[#This Row],[سعرالشراء]]-N261</f>
        <v>0</v>
      </c>
      <c r="P261" s="118">
        <f>الجدول2[[#This Row],[سعر البيع]]-الجدول2[[#This Row],[سعرالشراء]]</f>
        <v>0</v>
      </c>
    </row>
    <row r="262" spans="1:16" ht="31.5" customHeight="1" thickTop="1" thickBot="1" x14ac:dyDescent="0.35">
      <c r="A262" s="123" t="str">
        <f>IF(B262&lt;&gt;"", ROWS($A$12:A312), "")</f>
        <v/>
      </c>
      <c r="B262" s="57"/>
      <c r="C262" s="57"/>
      <c r="D262" s="58"/>
      <c r="E262" s="59"/>
      <c r="F262" s="57"/>
      <c r="G262" s="62"/>
      <c r="H262" s="67"/>
      <c r="I262" s="57"/>
      <c r="J262" s="57"/>
      <c r="K262" s="57"/>
      <c r="L262" s="57"/>
      <c r="M262" s="95">
        <f>الجدول2[[#This Row],[سعر البيع]]-الجدول2[[#This Row],[ المستلم من العميل]]</f>
        <v>0</v>
      </c>
      <c r="N262" s="57"/>
      <c r="O262" s="95">
        <f>الجدول2[[#This Row],[سعرالشراء]]-N262</f>
        <v>0</v>
      </c>
      <c r="P262" s="118">
        <f>الجدول2[[#This Row],[سعر البيع]]-الجدول2[[#This Row],[سعرالشراء]]</f>
        <v>0</v>
      </c>
    </row>
    <row r="263" spans="1:16" ht="31.5" customHeight="1" thickTop="1" thickBot="1" x14ac:dyDescent="0.35">
      <c r="A263" s="123" t="str">
        <f>IF(B263&lt;&gt;"", ROWS($A$12:A312), "")</f>
        <v/>
      </c>
      <c r="B263" s="57"/>
      <c r="C263" s="57"/>
      <c r="D263" s="58"/>
      <c r="E263" s="59"/>
      <c r="F263" s="57"/>
      <c r="G263" s="62"/>
      <c r="H263" s="67"/>
      <c r="I263" s="57"/>
      <c r="J263" s="57"/>
      <c r="K263" s="57"/>
      <c r="L263" s="57"/>
      <c r="M263" s="95">
        <f>الجدول2[[#This Row],[سعر البيع]]-الجدول2[[#This Row],[ المستلم من العميل]]</f>
        <v>0</v>
      </c>
      <c r="N263" s="57"/>
      <c r="O263" s="95">
        <f>الجدول2[[#This Row],[سعرالشراء]]-N263</f>
        <v>0</v>
      </c>
      <c r="P263" s="118">
        <f>الجدول2[[#This Row],[سعر البيع]]-الجدول2[[#This Row],[سعرالشراء]]</f>
        <v>0</v>
      </c>
    </row>
    <row r="264" spans="1:16" ht="31.5" customHeight="1" thickTop="1" thickBot="1" x14ac:dyDescent="0.35">
      <c r="A264" s="123" t="str">
        <f>IF(B264&lt;&gt;"", ROWS($A$12:A312), "")</f>
        <v/>
      </c>
      <c r="B264" s="57"/>
      <c r="C264" s="57"/>
      <c r="D264" s="58"/>
      <c r="E264" s="59"/>
      <c r="F264" s="57"/>
      <c r="G264" s="62"/>
      <c r="H264" s="67"/>
      <c r="I264" s="57"/>
      <c r="J264" s="57"/>
      <c r="K264" s="57"/>
      <c r="L264" s="57"/>
      <c r="M264" s="95">
        <f>الجدول2[[#This Row],[سعر البيع]]-الجدول2[[#This Row],[ المستلم من العميل]]</f>
        <v>0</v>
      </c>
      <c r="N264" s="57"/>
      <c r="O264" s="95">
        <f>الجدول2[[#This Row],[سعرالشراء]]-N264</f>
        <v>0</v>
      </c>
      <c r="P264" s="118">
        <f>الجدول2[[#This Row],[سعر البيع]]-الجدول2[[#This Row],[سعرالشراء]]</f>
        <v>0</v>
      </c>
    </row>
    <row r="265" spans="1:16" ht="31.5" customHeight="1" thickTop="1" thickBot="1" x14ac:dyDescent="0.35">
      <c r="A265" s="123" t="str">
        <f>IF(B265&lt;&gt;"", ROWS($A$12:A312), "")</f>
        <v/>
      </c>
      <c r="B265" s="57"/>
      <c r="C265" s="57"/>
      <c r="D265" s="58"/>
      <c r="E265" s="59"/>
      <c r="F265" s="57"/>
      <c r="G265" s="62"/>
      <c r="H265" s="67"/>
      <c r="I265" s="57"/>
      <c r="J265" s="57"/>
      <c r="K265" s="57"/>
      <c r="L265" s="57"/>
      <c r="M265" s="95">
        <f>الجدول2[[#This Row],[سعر البيع]]-الجدول2[[#This Row],[ المستلم من العميل]]</f>
        <v>0</v>
      </c>
      <c r="N265" s="57"/>
      <c r="O265" s="95">
        <f>الجدول2[[#This Row],[سعرالشراء]]-N265</f>
        <v>0</v>
      </c>
      <c r="P265" s="118">
        <f>الجدول2[[#This Row],[سعر البيع]]-الجدول2[[#This Row],[سعرالشراء]]</f>
        <v>0</v>
      </c>
    </row>
    <row r="266" spans="1:16" ht="31.5" customHeight="1" thickTop="1" thickBot="1" x14ac:dyDescent="0.35">
      <c r="A266" s="123" t="str">
        <f>IF(B266&lt;&gt;"", ROWS($A$12:A312), "")</f>
        <v/>
      </c>
      <c r="B266" s="57"/>
      <c r="C266" s="57"/>
      <c r="D266" s="58"/>
      <c r="E266" s="59"/>
      <c r="F266" s="57"/>
      <c r="G266" s="62"/>
      <c r="H266" s="67"/>
      <c r="I266" s="57"/>
      <c r="J266" s="57"/>
      <c r="K266" s="57"/>
      <c r="L266" s="57"/>
      <c r="M266" s="95">
        <f>الجدول2[[#This Row],[سعر البيع]]-الجدول2[[#This Row],[ المستلم من العميل]]</f>
        <v>0</v>
      </c>
      <c r="N266" s="57"/>
      <c r="O266" s="95">
        <f>الجدول2[[#This Row],[سعرالشراء]]-N266</f>
        <v>0</v>
      </c>
      <c r="P266" s="118">
        <f>الجدول2[[#This Row],[سعر البيع]]-الجدول2[[#This Row],[سعرالشراء]]</f>
        <v>0</v>
      </c>
    </row>
    <row r="267" spans="1:16" ht="31.5" customHeight="1" thickTop="1" thickBot="1" x14ac:dyDescent="0.35">
      <c r="A267" s="123" t="str">
        <f>IF(B267&lt;&gt;"", ROWS($A$12:A312), "")</f>
        <v/>
      </c>
      <c r="B267" s="57"/>
      <c r="C267" s="57"/>
      <c r="D267" s="58"/>
      <c r="E267" s="59"/>
      <c r="F267" s="57"/>
      <c r="G267" s="62"/>
      <c r="H267" s="67"/>
      <c r="I267" s="57"/>
      <c r="J267" s="57"/>
      <c r="K267" s="57"/>
      <c r="L267" s="57"/>
      <c r="M267" s="95">
        <f>الجدول2[[#This Row],[سعر البيع]]-الجدول2[[#This Row],[ المستلم من العميل]]</f>
        <v>0</v>
      </c>
      <c r="N267" s="57"/>
      <c r="O267" s="95">
        <f>الجدول2[[#This Row],[سعرالشراء]]-N267</f>
        <v>0</v>
      </c>
      <c r="P267" s="118">
        <f>الجدول2[[#This Row],[سعر البيع]]-الجدول2[[#This Row],[سعرالشراء]]</f>
        <v>0</v>
      </c>
    </row>
    <row r="268" spans="1:16" ht="31.5" customHeight="1" thickTop="1" thickBot="1" x14ac:dyDescent="0.35">
      <c r="A268" s="123" t="str">
        <f>IF(B268&lt;&gt;"", ROWS($A$12:A312), "")</f>
        <v/>
      </c>
      <c r="B268" s="57"/>
      <c r="C268" s="57"/>
      <c r="D268" s="58"/>
      <c r="E268" s="59"/>
      <c r="F268" s="57"/>
      <c r="G268" s="62"/>
      <c r="H268" s="67"/>
      <c r="I268" s="57"/>
      <c r="J268" s="57"/>
      <c r="K268" s="57"/>
      <c r="L268" s="57"/>
      <c r="M268" s="95">
        <f>الجدول2[[#This Row],[سعر البيع]]-الجدول2[[#This Row],[ المستلم من العميل]]</f>
        <v>0</v>
      </c>
      <c r="N268" s="57"/>
      <c r="O268" s="95">
        <f>الجدول2[[#This Row],[سعرالشراء]]-N268</f>
        <v>0</v>
      </c>
      <c r="P268" s="118">
        <f>الجدول2[[#This Row],[سعر البيع]]-الجدول2[[#This Row],[سعرالشراء]]</f>
        <v>0</v>
      </c>
    </row>
    <row r="269" spans="1:16" ht="31.5" customHeight="1" thickTop="1" thickBot="1" x14ac:dyDescent="0.35">
      <c r="A269" s="123" t="str">
        <f>IF(B269&lt;&gt;"", ROWS($A$12:A312), "")</f>
        <v/>
      </c>
      <c r="B269" s="57"/>
      <c r="C269" s="57"/>
      <c r="D269" s="58"/>
      <c r="E269" s="59"/>
      <c r="F269" s="57"/>
      <c r="G269" s="62"/>
      <c r="H269" s="67"/>
      <c r="I269" s="57"/>
      <c r="J269" s="57"/>
      <c r="K269" s="57"/>
      <c r="L269" s="57"/>
      <c r="M269" s="95">
        <f>الجدول2[[#This Row],[سعر البيع]]-الجدول2[[#This Row],[ المستلم من العميل]]</f>
        <v>0</v>
      </c>
      <c r="N269" s="57"/>
      <c r="O269" s="95">
        <f>الجدول2[[#This Row],[سعرالشراء]]-N269</f>
        <v>0</v>
      </c>
      <c r="P269" s="118">
        <f>الجدول2[[#This Row],[سعر البيع]]-الجدول2[[#This Row],[سعرالشراء]]</f>
        <v>0</v>
      </c>
    </row>
    <row r="270" spans="1:16" ht="31.5" customHeight="1" thickTop="1" thickBot="1" x14ac:dyDescent="0.35">
      <c r="A270" s="123" t="str">
        <f>IF(B270&lt;&gt;"", ROWS($A$12:A312), "")</f>
        <v/>
      </c>
      <c r="B270" s="57"/>
      <c r="C270" s="57"/>
      <c r="D270" s="58"/>
      <c r="E270" s="59"/>
      <c r="F270" s="57"/>
      <c r="G270" s="62"/>
      <c r="H270" s="67"/>
      <c r="I270" s="57"/>
      <c r="J270" s="57"/>
      <c r="K270" s="57"/>
      <c r="L270" s="57"/>
      <c r="M270" s="95">
        <f>الجدول2[[#This Row],[سعر البيع]]-الجدول2[[#This Row],[ المستلم من العميل]]</f>
        <v>0</v>
      </c>
      <c r="N270" s="57"/>
      <c r="O270" s="95">
        <f>الجدول2[[#This Row],[سعرالشراء]]-N270</f>
        <v>0</v>
      </c>
      <c r="P270" s="118">
        <f>الجدول2[[#This Row],[سعر البيع]]-الجدول2[[#This Row],[سعرالشراء]]</f>
        <v>0</v>
      </c>
    </row>
    <row r="271" spans="1:16" ht="31.5" customHeight="1" thickTop="1" thickBot="1" x14ac:dyDescent="0.35">
      <c r="A271" s="123" t="str">
        <f>IF(B271&lt;&gt;"", ROWS($A$12:A312), "")</f>
        <v/>
      </c>
      <c r="B271" s="57"/>
      <c r="C271" s="57"/>
      <c r="D271" s="58"/>
      <c r="E271" s="59"/>
      <c r="F271" s="57"/>
      <c r="G271" s="62"/>
      <c r="H271" s="67"/>
      <c r="I271" s="57"/>
      <c r="J271" s="57"/>
      <c r="K271" s="57"/>
      <c r="L271" s="57"/>
      <c r="M271" s="95">
        <f>الجدول2[[#This Row],[سعر البيع]]-الجدول2[[#This Row],[ المستلم من العميل]]</f>
        <v>0</v>
      </c>
      <c r="N271" s="57"/>
      <c r="O271" s="95">
        <f>الجدول2[[#This Row],[سعرالشراء]]-N271</f>
        <v>0</v>
      </c>
      <c r="P271" s="118">
        <f>الجدول2[[#This Row],[سعر البيع]]-الجدول2[[#This Row],[سعرالشراء]]</f>
        <v>0</v>
      </c>
    </row>
    <row r="272" spans="1:16" ht="31.5" customHeight="1" thickTop="1" thickBot="1" x14ac:dyDescent="0.35">
      <c r="A272" s="123" t="str">
        <f>IF(B272&lt;&gt;"", ROWS($A$12:A312), "")</f>
        <v/>
      </c>
      <c r="B272" s="57"/>
      <c r="C272" s="57"/>
      <c r="D272" s="58"/>
      <c r="E272" s="59"/>
      <c r="F272" s="57"/>
      <c r="G272" s="62"/>
      <c r="H272" s="67"/>
      <c r="I272" s="57"/>
      <c r="J272" s="57"/>
      <c r="K272" s="57"/>
      <c r="L272" s="57"/>
      <c r="M272" s="95">
        <f>الجدول2[[#This Row],[سعر البيع]]-الجدول2[[#This Row],[ المستلم من العميل]]</f>
        <v>0</v>
      </c>
      <c r="N272" s="57"/>
      <c r="O272" s="95">
        <f>الجدول2[[#This Row],[سعرالشراء]]-N272</f>
        <v>0</v>
      </c>
      <c r="P272" s="118">
        <f>الجدول2[[#This Row],[سعر البيع]]-الجدول2[[#This Row],[سعرالشراء]]</f>
        <v>0</v>
      </c>
    </row>
    <row r="273" spans="1:16" ht="31.5" customHeight="1" thickTop="1" thickBot="1" x14ac:dyDescent="0.35">
      <c r="A273" s="123" t="str">
        <f>IF(B273&lt;&gt;"", ROWS($A$12:A312), "")</f>
        <v/>
      </c>
      <c r="B273" s="57"/>
      <c r="C273" s="57"/>
      <c r="D273" s="58"/>
      <c r="E273" s="59"/>
      <c r="F273" s="57"/>
      <c r="G273" s="62"/>
      <c r="H273" s="67"/>
      <c r="I273" s="57"/>
      <c r="J273" s="57"/>
      <c r="K273" s="57"/>
      <c r="L273" s="57"/>
      <c r="M273" s="95">
        <f>الجدول2[[#This Row],[سعر البيع]]-الجدول2[[#This Row],[ المستلم من العميل]]</f>
        <v>0</v>
      </c>
      <c r="N273" s="57"/>
      <c r="O273" s="95">
        <f>الجدول2[[#This Row],[سعرالشراء]]-N273</f>
        <v>0</v>
      </c>
      <c r="P273" s="118">
        <f>الجدول2[[#This Row],[سعر البيع]]-الجدول2[[#This Row],[سعرالشراء]]</f>
        <v>0</v>
      </c>
    </row>
    <row r="274" spans="1:16" ht="31.5" customHeight="1" thickTop="1" thickBot="1" x14ac:dyDescent="0.35">
      <c r="A274" s="123" t="str">
        <f>IF(B274&lt;&gt;"", ROWS($A$12:A312), "")</f>
        <v/>
      </c>
      <c r="B274" s="57"/>
      <c r="C274" s="57"/>
      <c r="D274" s="58"/>
      <c r="E274" s="59"/>
      <c r="F274" s="57"/>
      <c r="G274" s="62"/>
      <c r="H274" s="67"/>
      <c r="I274" s="57"/>
      <c r="J274" s="57"/>
      <c r="K274" s="57"/>
      <c r="L274" s="57"/>
      <c r="M274" s="95">
        <f>الجدول2[[#This Row],[سعر البيع]]-الجدول2[[#This Row],[ المستلم من العميل]]</f>
        <v>0</v>
      </c>
      <c r="N274" s="57"/>
      <c r="O274" s="95">
        <f>الجدول2[[#This Row],[سعرالشراء]]-N274</f>
        <v>0</v>
      </c>
      <c r="P274" s="118">
        <f>الجدول2[[#This Row],[سعر البيع]]-الجدول2[[#This Row],[سعرالشراء]]</f>
        <v>0</v>
      </c>
    </row>
    <row r="275" spans="1:16" ht="31.5" customHeight="1" thickTop="1" thickBot="1" x14ac:dyDescent="0.35">
      <c r="A275" s="123" t="str">
        <f>IF(B275&lt;&gt;"", ROWS($A$12:A312), "")</f>
        <v/>
      </c>
      <c r="B275" s="57"/>
      <c r="C275" s="57"/>
      <c r="D275" s="58"/>
      <c r="E275" s="59"/>
      <c r="F275" s="57"/>
      <c r="G275" s="62"/>
      <c r="H275" s="67"/>
      <c r="I275" s="57"/>
      <c r="J275" s="57"/>
      <c r="K275" s="57"/>
      <c r="L275" s="57"/>
      <c r="M275" s="95">
        <f>الجدول2[[#This Row],[سعر البيع]]-الجدول2[[#This Row],[ المستلم من العميل]]</f>
        <v>0</v>
      </c>
      <c r="N275" s="57"/>
      <c r="O275" s="95">
        <f>الجدول2[[#This Row],[سعرالشراء]]-N275</f>
        <v>0</v>
      </c>
      <c r="P275" s="118">
        <f>الجدول2[[#This Row],[سعر البيع]]-الجدول2[[#This Row],[سعرالشراء]]</f>
        <v>0</v>
      </c>
    </row>
    <row r="276" spans="1:16" ht="31.5" customHeight="1" thickTop="1" thickBot="1" x14ac:dyDescent="0.35">
      <c r="A276" s="123" t="str">
        <f>IF(B276&lt;&gt;"", ROWS($A$12:A312), "")</f>
        <v/>
      </c>
      <c r="B276" s="57"/>
      <c r="C276" s="57"/>
      <c r="D276" s="58"/>
      <c r="E276" s="59"/>
      <c r="F276" s="57"/>
      <c r="G276" s="62"/>
      <c r="H276" s="67"/>
      <c r="I276" s="57"/>
      <c r="J276" s="57"/>
      <c r="K276" s="57"/>
      <c r="L276" s="57"/>
      <c r="M276" s="95">
        <f>الجدول2[[#This Row],[سعر البيع]]-الجدول2[[#This Row],[ المستلم من العميل]]</f>
        <v>0</v>
      </c>
      <c r="N276" s="57"/>
      <c r="O276" s="95">
        <f>الجدول2[[#This Row],[سعرالشراء]]-N276</f>
        <v>0</v>
      </c>
      <c r="P276" s="118">
        <f>الجدول2[[#This Row],[سعر البيع]]-الجدول2[[#This Row],[سعرالشراء]]</f>
        <v>0</v>
      </c>
    </row>
    <row r="277" spans="1:16" ht="31.5" customHeight="1" thickTop="1" thickBot="1" x14ac:dyDescent="0.35">
      <c r="A277" s="123" t="str">
        <f>IF(B277&lt;&gt;"", ROWS($A$12:A312), "")</f>
        <v/>
      </c>
      <c r="B277" s="57"/>
      <c r="C277" s="57"/>
      <c r="D277" s="58"/>
      <c r="E277" s="59"/>
      <c r="F277" s="57"/>
      <c r="G277" s="62"/>
      <c r="H277" s="67"/>
      <c r="I277" s="57"/>
      <c r="J277" s="57"/>
      <c r="K277" s="57"/>
      <c r="L277" s="57"/>
      <c r="M277" s="95">
        <f>الجدول2[[#This Row],[سعر البيع]]-الجدول2[[#This Row],[ المستلم من العميل]]</f>
        <v>0</v>
      </c>
      <c r="N277" s="57"/>
      <c r="O277" s="95">
        <f>الجدول2[[#This Row],[سعرالشراء]]-N277</f>
        <v>0</v>
      </c>
      <c r="P277" s="118">
        <f>الجدول2[[#This Row],[سعر البيع]]-الجدول2[[#This Row],[سعرالشراء]]</f>
        <v>0</v>
      </c>
    </row>
    <row r="278" spans="1:16" ht="31.5" customHeight="1" thickTop="1" thickBot="1" x14ac:dyDescent="0.35">
      <c r="A278" s="123" t="str">
        <f>IF(B278&lt;&gt;"", ROWS($A$12:A312), "")</f>
        <v/>
      </c>
      <c r="B278" s="57"/>
      <c r="C278" s="57"/>
      <c r="D278" s="58"/>
      <c r="E278" s="59"/>
      <c r="F278" s="57"/>
      <c r="G278" s="62"/>
      <c r="H278" s="67"/>
      <c r="I278" s="57"/>
      <c r="J278" s="57"/>
      <c r="K278" s="57"/>
      <c r="L278" s="57"/>
      <c r="M278" s="95">
        <f>الجدول2[[#This Row],[سعر البيع]]-الجدول2[[#This Row],[ المستلم من العميل]]</f>
        <v>0</v>
      </c>
      <c r="N278" s="57"/>
      <c r="O278" s="95">
        <f>الجدول2[[#This Row],[سعرالشراء]]-N278</f>
        <v>0</v>
      </c>
      <c r="P278" s="118">
        <f>الجدول2[[#This Row],[سعر البيع]]-الجدول2[[#This Row],[سعرالشراء]]</f>
        <v>0</v>
      </c>
    </row>
    <row r="279" spans="1:16" ht="31.5" customHeight="1" thickTop="1" thickBot="1" x14ac:dyDescent="0.35">
      <c r="A279" s="123" t="str">
        <f>IF(B279&lt;&gt;"", ROWS($A$12:A312), "")</f>
        <v/>
      </c>
      <c r="B279" s="57"/>
      <c r="C279" s="57"/>
      <c r="D279" s="58"/>
      <c r="E279" s="59"/>
      <c r="F279" s="57"/>
      <c r="G279" s="62"/>
      <c r="H279" s="67"/>
      <c r="I279" s="57"/>
      <c r="J279" s="57"/>
      <c r="K279" s="57"/>
      <c r="L279" s="57"/>
      <c r="M279" s="95">
        <f>الجدول2[[#This Row],[سعر البيع]]-الجدول2[[#This Row],[ المستلم من العميل]]</f>
        <v>0</v>
      </c>
      <c r="N279" s="57"/>
      <c r="O279" s="95">
        <f>الجدول2[[#This Row],[سعرالشراء]]-N279</f>
        <v>0</v>
      </c>
      <c r="P279" s="118">
        <f>الجدول2[[#This Row],[سعر البيع]]-الجدول2[[#This Row],[سعرالشراء]]</f>
        <v>0</v>
      </c>
    </row>
    <row r="280" spans="1:16" ht="31.5" customHeight="1" thickTop="1" thickBot="1" x14ac:dyDescent="0.35">
      <c r="A280" s="123" t="str">
        <f>IF(B280&lt;&gt;"", ROWS($A$12:A312), "")</f>
        <v/>
      </c>
      <c r="B280" s="57"/>
      <c r="C280" s="57"/>
      <c r="D280" s="58"/>
      <c r="E280" s="59"/>
      <c r="F280" s="57"/>
      <c r="G280" s="62"/>
      <c r="H280" s="67"/>
      <c r="I280" s="57"/>
      <c r="J280" s="57"/>
      <c r="K280" s="57"/>
      <c r="L280" s="57"/>
      <c r="M280" s="95">
        <f>الجدول2[[#This Row],[سعر البيع]]-الجدول2[[#This Row],[ المستلم من العميل]]</f>
        <v>0</v>
      </c>
      <c r="N280" s="57"/>
      <c r="O280" s="95">
        <f>الجدول2[[#This Row],[سعرالشراء]]-N280</f>
        <v>0</v>
      </c>
      <c r="P280" s="118">
        <f>الجدول2[[#This Row],[سعر البيع]]-الجدول2[[#This Row],[سعرالشراء]]</f>
        <v>0</v>
      </c>
    </row>
    <row r="281" spans="1:16" ht="31.5" customHeight="1" thickTop="1" thickBot="1" x14ac:dyDescent="0.35">
      <c r="A281" s="123" t="str">
        <f>IF(B281&lt;&gt;"", ROWS($A$12:A312), "")</f>
        <v/>
      </c>
      <c r="B281" s="57"/>
      <c r="C281" s="57"/>
      <c r="D281" s="58"/>
      <c r="E281" s="59"/>
      <c r="F281" s="57"/>
      <c r="G281" s="62"/>
      <c r="H281" s="67"/>
      <c r="I281" s="57"/>
      <c r="J281" s="57"/>
      <c r="K281" s="57"/>
      <c r="L281" s="57"/>
      <c r="M281" s="95">
        <f>الجدول2[[#This Row],[سعر البيع]]-الجدول2[[#This Row],[ المستلم من العميل]]</f>
        <v>0</v>
      </c>
      <c r="N281" s="57"/>
      <c r="O281" s="95">
        <f>الجدول2[[#This Row],[سعرالشراء]]-N281</f>
        <v>0</v>
      </c>
      <c r="P281" s="118">
        <f>الجدول2[[#This Row],[سعر البيع]]-الجدول2[[#This Row],[سعرالشراء]]</f>
        <v>0</v>
      </c>
    </row>
    <row r="282" spans="1:16" ht="31.5" customHeight="1" thickTop="1" thickBot="1" x14ac:dyDescent="0.35">
      <c r="A282" s="123" t="str">
        <f>IF(B282&lt;&gt;"", ROWS($A$12:A312), "")</f>
        <v/>
      </c>
      <c r="B282" s="57"/>
      <c r="C282" s="57"/>
      <c r="D282" s="58"/>
      <c r="E282" s="59"/>
      <c r="F282" s="57"/>
      <c r="G282" s="62"/>
      <c r="H282" s="67"/>
      <c r="I282" s="57"/>
      <c r="J282" s="57"/>
      <c r="K282" s="57"/>
      <c r="L282" s="57"/>
      <c r="M282" s="95">
        <f>الجدول2[[#This Row],[سعر البيع]]-الجدول2[[#This Row],[ المستلم من العميل]]</f>
        <v>0</v>
      </c>
      <c r="N282" s="57"/>
      <c r="O282" s="95">
        <f>الجدول2[[#This Row],[سعرالشراء]]-N282</f>
        <v>0</v>
      </c>
      <c r="P282" s="118">
        <f>الجدول2[[#This Row],[سعر البيع]]-الجدول2[[#This Row],[سعرالشراء]]</f>
        <v>0</v>
      </c>
    </row>
    <row r="283" spans="1:16" ht="31.5" customHeight="1" thickTop="1" thickBot="1" x14ac:dyDescent="0.35">
      <c r="A283" s="123" t="str">
        <f>IF(B283&lt;&gt;"", ROWS($A$12:A312), "")</f>
        <v/>
      </c>
      <c r="B283" s="57"/>
      <c r="C283" s="57"/>
      <c r="D283" s="58"/>
      <c r="E283" s="59"/>
      <c r="F283" s="57"/>
      <c r="G283" s="62"/>
      <c r="H283" s="67"/>
      <c r="I283" s="57"/>
      <c r="J283" s="57"/>
      <c r="K283" s="57"/>
      <c r="L283" s="57"/>
      <c r="M283" s="95">
        <f>الجدول2[[#This Row],[سعر البيع]]-الجدول2[[#This Row],[ المستلم من العميل]]</f>
        <v>0</v>
      </c>
      <c r="N283" s="57"/>
      <c r="O283" s="95">
        <f>الجدول2[[#This Row],[سعرالشراء]]-N283</f>
        <v>0</v>
      </c>
      <c r="P283" s="118">
        <f>الجدول2[[#This Row],[سعر البيع]]-الجدول2[[#This Row],[سعرالشراء]]</f>
        <v>0</v>
      </c>
    </row>
    <row r="284" spans="1:16" ht="31.5" customHeight="1" thickTop="1" thickBot="1" x14ac:dyDescent="0.35">
      <c r="A284" s="123" t="str">
        <f>IF(B284&lt;&gt;"", ROWS($A$12:A312), "")</f>
        <v/>
      </c>
      <c r="B284" s="57"/>
      <c r="C284" s="57"/>
      <c r="D284" s="58"/>
      <c r="E284" s="59"/>
      <c r="F284" s="57"/>
      <c r="G284" s="62"/>
      <c r="H284" s="67"/>
      <c r="I284" s="57"/>
      <c r="J284" s="57"/>
      <c r="K284" s="57"/>
      <c r="L284" s="57"/>
      <c r="M284" s="95">
        <f>الجدول2[[#This Row],[سعر البيع]]-الجدول2[[#This Row],[ المستلم من العميل]]</f>
        <v>0</v>
      </c>
      <c r="N284" s="57"/>
      <c r="O284" s="95">
        <f>الجدول2[[#This Row],[سعرالشراء]]-N284</f>
        <v>0</v>
      </c>
      <c r="P284" s="118">
        <f>الجدول2[[#This Row],[سعر البيع]]-الجدول2[[#This Row],[سعرالشراء]]</f>
        <v>0</v>
      </c>
    </row>
    <row r="285" spans="1:16" ht="31.5" customHeight="1" thickTop="1" thickBot="1" x14ac:dyDescent="0.35">
      <c r="A285" s="123" t="str">
        <f>IF(B285&lt;&gt;"", ROWS($A$12:A312), "")</f>
        <v/>
      </c>
      <c r="B285" s="57"/>
      <c r="C285" s="57"/>
      <c r="D285" s="58"/>
      <c r="E285" s="59"/>
      <c r="F285" s="57"/>
      <c r="G285" s="62"/>
      <c r="H285" s="67"/>
      <c r="I285" s="57"/>
      <c r="J285" s="57"/>
      <c r="K285" s="57"/>
      <c r="L285" s="57"/>
      <c r="M285" s="95">
        <f>الجدول2[[#This Row],[سعر البيع]]-الجدول2[[#This Row],[ المستلم من العميل]]</f>
        <v>0</v>
      </c>
      <c r="N285" s="57"/>
      <c r="O285" s="95">
        <f>الجدول2[[#This Row],[سعرالشراء]]-N285</f>
        <v>0</v>
      </c>
      <c r="P285" s="118">
        <f>الجدول2[[#This Row],[سعر البيع]]-الجدول2[[#This Row],[سعرالشراء]]</f>
        <v>0</v>
      </c>
    </row>
    <row r="286" spans="1:16" ht="31.5" customHeight="1" thickTop="1" thickBot="1" x14ac:dyDescent="0.35">
      <c r="A286" s="123" t="str">
        <f>IF(B286&lt;&gt;"", ROWS($A$12:A312), "")</f>
        <v/>
      </c>
      <c r="B286" s="57"/>
      <c r="C286" s="57"/>
      <c r="D286" s="58"/>
      <c r="E286" s="59"/>
      <c r="F286" s="57"/>
      <c r="G286" s="62"/>
      <c r="H286" s="67"/>
      <c r="I286" s="57"/>
      <c r="J286" s="57"/>
      <c r="K286" s="57"/>
      <c r="L286" s="57"/>
      <c r="M286" s="95">
        <f>الجدول2[[#This Row],[سعر البيع]]-الجدول2[[#This Row],[ المستلم من العميل]]</f>
        <v>0</v>
      </c>
      <c r="N286" s="57"/>
      <c r="O286" s="95">
        <f>الجدول2[[#This Row],[سعرالشراء]]-N286</f>
        <v>0</v>
      </c>
      <c r="P286" s="118">
        <f>الجدول2[[#This Row],[سعر البيع]]-الجدول2[[#This Row],[سعرالشراء]]</f>
        <v>0</v>
      </c>
    </row>
    <row r="287" spans="1:16" ht="31.5" customHeight="1" thickTop="1" thickBot="1" x14ac:dyDescent="0.35">
      <c r="A287" s="123" t="str">
        <f>IF(B287&lt;&gt;"", ROWS($A$12:A312), "")</f>
        <v/>
      </c>
      <c r="B287" s="57"/>
      <c r="C287" s="57"/>
      <c r="D287" s="58"/>
      <c r="E287" s="59"/>
      <c r="F287" s="57"/>
      <c r="G287" s="62"/>
      <c r="H287" s="67"/>
      <c r="I287" s="57"/>
      <c r="J287" s="57"/>
      <c r="K287" s="57"/>
      <c r="L287" s="57"/>
      <c r="M287" s="95">
        <f>الجدول2[[#This Row],[سعر البيع]]-الجدول2[[#This Row],[ المستلم من العميل]]</f>
        <v>0</v>
      </c>
      <c r="N287" s="57"/>
      <c r="O287" s="95">
        <f>الجدول2[[#This Row],[سعرالشراء]]-N287</f>
        <v>0</v>
      </c>
      <c r="P287" s="118">
        <f>الجدول2[[#This Row],[سعر البيع]]-الجدول2[[#This Row],[سعرالشراء]]</f>
        <v>0</v>
      </c>
    </row>
    <row r="288" spans="1:16" ht="31.5" customHeight="1" thickTop="1" thickBot="1" x14ac:dyDescent="0.35">
      <c r="A288" s="123" t="str">
        <f>IF(B288&lt;&gt;"", ROWS($A$12:A312), "")</f>
        <v/>
      </c>
      <c r="B288" s="57"/>
      <c r="C288" s="57"/>
      <c r="D288" s="58"/>
      <c r="E288" s="59"/>
      <c r="F288" s="57"/>
      <c r="G288" s="62"/>
      <c r="H288" s="67"/>
      <c r="I288" s="57"/>
      <c r="J288" s="57"/>
      <c r="K288" s="57"/>
      <c r="L288" s="57"/>
      <c r="M288" s="95">
        <f>الجدول2[[#This Row],[سعر البيع]]-الجدول2[[#This Row],[ المستلم من العميل]]</f>
        <v>0</v>
      </c>
      <c r="N288" s="57"/>
      <c r="O288" s="95">
        <f>الجدول2[[#This Row],[سعرالشراء]]-N288</f>
        <v>0</v>
      </c>
      <c r="P288" s="118">
        <f>الجدول2[[#This Row],[سعر البيع]]-الجدول2[[#This Row],[سعرالشراء]]</f>
        <v>0</v>
      </c>
    </row>
    <row r="289" spans="1:16" ht="31.5" customHeight="1" thickTop="1" thickBot="1" x14ac:dyDescent="0.35">
      <c r="A289" s="123" t="str">
        <f>IF(B289&lt;&gt;"", ROWS($A$12:A312), "")</f>
        <v/>
      </c>
      <c r="B289" s="57"/>
      <c r="C289" s="57"/>
      <c r="D289" s="58"/>
      <c r="E289" s="59"/>
      <c r="F289" s="57"/>
      <c r="G289" s="62"/>
      <c r="H289" s="67"/>
      <c r="I289" s="57"/>
      <c r="J289" s="57"/>
      <c r="K289" s="57"/>
      <c r="L289" s="57"/>
      <c r="M289" s="95">
        <f>الجدول2[[#This Row],[سعر البيع]]-الجدول2[[#This Row],[ المستلم من العميل]]</f>
        <v>0</v>
      </c>
      <c r="N289" s="57"/>
      <c r="O289" s="95">
        <f>الجدول2[[#This Row],[سعرالشراء]]-N289</f>
        <v>0</v>
      </c>
      <c r="P289" s="118">
        <f>الجدول2[[#This Row],[سعر البيع]]-الجدول2[[#This Row],[سعرالشراء]]</f>
        <v>0</v>
      </c>
    </row>
    <row r="290" spans="1:16" ht="31.5" customHeight="1" thickTop="1" thickBot="1" x14ac:dyDescent="0.35">
      <c r="A290" s="123" t="str">
        <f>IF(B290&lt;&gt;"", ROWS($A$12:A312), "")</f>
        <v/>
      </c>
      <c r="B290" s="57"/>
      <c r="C290" s="57"/>
      <c r="D290" s="58"/>
      <c r="E290" s="59"/>
      <c r="F290" s="57"/>
      <c r="G290" s="62"/>
      <c r="H290" s="67"/>
      <c r="I290" s="57"/>
      <c r="J290" s="57"/>
      <c r="K290" s="57"/>
      <c r="L290" s="57"/>
      <c r="M290" s="95">
        <f>الجدول2[[#This Row],[سعر البيع]]-الجدول2[[#This Row],[ المستلم من العميل]]</f>
        <v>0</v>
      </c>
      <c r="N290" s="57"/>
      <c r="O290" s="95">
        <f>الجدول2[[#This Row],[سعرالشراء]]-N290</f>
        <v>0</v>
      </c>
      <c r="P290" s="118">
        <f>الجدول2[[#This Row],[سعر البيع]]-الجدول2[[#This Row],[سعرالشراء]]</f>
        <v>0</v>
      </c>
    </row>
    <row r="291" spans="1:16" ht="31.5" customHeight="1" thickTop="1" thickBot="1" x14ac:dyDescent="0.35">
      <c r="A291" s="123" t="str">
        <f>IF(B291&lt;&gt;"", ROWS($A$12:A312), "")</f>
        <v/>
      </c>
      <c r="B291" s="57"/>
      <c r="C291" s="57"/>
      <c r="D291" s="58"/>
      <c r="E291" s="59"/>
      <c r="F291" s="57"/>
      <c r="G291" s="62"/>
      <c r="H291" s="67"/>
      <c r="I291" s="57"/>
      <c r="J291" s="57"/>
      <c r="K291" s="57"/>
      <c r="L291" s="57"/>
      <c r="M291" s="95">
        <f>الجدول2[[#This Row],[سعر البيع]]-الجدول2[[#This Row],[ المستلم من العميل]]</f>
        <v>0</v>
      </c>
      <c r="N291" s="57"/>
      <c r="O291" s="95">
        <f>الجدول2[[#This Row],[سعرالشراء]]-N291</f>
        <v>0</v>
      </c>
      <c r="P291" s="118">
        <f>الجدول2[[#This Row],[سعر البيع]]-الجدول2[[#This Row],[سعرالشراء]]</f>
        <v>0</v>
      </c>
    </row>
    <row r="292" spans="1:16" ht="31.5" customHeight="1" thickTop="1" thickBot="1" x14ac:dyDescent="0.35">
      <c r="A292" s="123" t="str">
        <f>IF(B292&lt;&gt;"", ROWS($A$12:A312), "")</f>
        <v/>
      </c>
      <c r="B292" s="57"/>
      <c r="C292" s="57"/>
      <c r="D292" s="58"/>
      <c r="E292" s="59"/>
      <c r="F292" s="57"/>
      <c r="G292" s="62"/>
      <c r="H292" s="67"/>
      <c r="I292" s="57"/>
      <c r="J292" s="57"/>
      <c r="K292" s="57"/>
      <c r="L292" s="57"/>
      <c r="M292" s="95">
        <f>الجدول2[[#This Row],[سعر البيع]]-الجدول2[[#This Row],[ المستلم من العميل]]</f>
        <v>0</v>
      </c>
      <c r="N292" s="57"/>
      <c r="O292" s="95">
        <f>الجدول2[[#This Row],[سعرالشراء]]-N292</f>
        <v>0</v>
      </c>
      <c r="P292" s="118">
        <f>الجدول2[[#This Row],[سعر البيع]]-الجدول2[[#This Row],[سعرالشراء]]</f>
        <v>0</v>
      </c>
    </row>
    <row r="293" spans="1:16" ht="31.5" customHeight="1" thickTop="1" thickBot="1" x14ac:dyDescent="0.35">
      <c r="A293" s="123" t="str">
        <f>IF(B293&lt;&gt;"", ROWS($A$12:A312), "")</f>
        <v/>
      </c>
      <c r="B293" s="57"/>
      <c r="C293" s="57"/>
      <c r="D293" s="58"/>
      <c r="E293" s="59"/>
      <c r="F293" s="57"/>
      <c r="G293" s="62"/>
      <c r="H293" s="67"/>
      <c r="I293" s="57"/>
      <c r="J293" s="57"/>
      <c r="K293" s="57"/>
      <c r="L293" s="57"/>
      <c r="M293" s="95">
        <f>الجدول2[[#This Row],[سعر البيع]]-الجدول2[[#This Row],[ المستلم من العميل]]</f>
        <v>0</v>
      </c>
      <c r="N293" s="57"/>
      <c r="O293" s="95">
        <f>الجدول2[[#This Row],[سعرالشراء]]-N293</f>
        <v>0</v>
      </c>
      <c r="P293" s="118">
        <f>الجدول2[[#This Row],[سعر البيع]]-الجدول2[[#This Row],[سعرالشراء]]</f>
        <v>0</v>
      </c>
    </row>
    <row r="294" spans="1:16" ht="31.5" customHeight="1" thickTop="1" thickBot="1" x14ac:dyDescent="0.35">
      <c r="A294" s="123" t="str">
        <f>IF(B294&lt;&gt;"", ROWS($A$12:A312), "")</f>
        <v/>
      </c>
      <c r="B294" s="57"/>
      <c r="C294" s="57"/>
      <c r="D294" s="58"/>
      <c r="E294" s="59"/>
      <c r="F294" s="57"/>
      <c r="G294" s="62"/>
      <c r="H294" s="67"/>
      <c r="I294" s="57"/>
      <c r="J294" s="57"/>
      <c r="K294" s="57"/>
      <c r="L294" s="57"/>
      <c r="M294" s="95">
        <f>الجدول2[[#This Row],[سعر البيع]]-الجدول2[[#This Row],[ المستلم من العميل]]</f>
        <v>0</v>
      </c>
      <c r="N294" s="57"/>
      <c r="O294" s="95">
        <f>الجدول2[[#This Row],[سعرالشراء]]-N294</f>
        <v>0</v>
      </c>
      <c r="P294" s="118">
        <f>الجدول2[[#This Row],[سعر البيع]]-الجدول2[[#This Row],[سعرالشراء]]</f>
        <v>0</v>
      </c>
    </row>
    <row r="295" spans="1:16" ht="31.5" customHeight="1" thickTop="1" thickBot="1" x14ac:dyDescent="0.35">
      <c r="A295" s="123" t="str">
        <f>IF(B295&lt;&gt;"", ROWS($A$12:A312), "")</f>
        <v/>
      </c>
      <c r="B295" s="57"/>
      <c r="C295" s="57"/>
      <c r="D295" s="58"/>
      <c r="E295" s="59"/>
      <c r="F295" s="57"/>
      <c r="G295" s="62"/>
      <c r="H295" s="67"/>
      <c r="I295" s="57"/>
      <c r="J295" s="57"/>
      <c r="K295" s="57"/>
      <c r="L295" s="57"/>
      <c r="M295" s="95">
        <f>الجدول2[[#This Row],[سعر البيع]]-الجدول2[[#This Row],[ المستلم من العميل]]</f>
        <v>0</v>
      </c>
      <c r="N295" s="57"/>
      <c r="O295" s="95">
        <f>الجدول2[[#This Row],[سعرالشراء]]-N295</f>
        <v>0</v>
      </c>
      <c r="P295" s="118">
        <f>الجدول2[[#This Row],[سعر البيع]]-الجدول2[[#This Row],[سعرالشراء]]</f>
        <v>0</v>
      </c>
    </row>
    <row r="296" spans="1:16" ht="31.5" customHeight="1" thickTop="1" thickBot="1" x14ac:dyDescent="0.35">
      <c r="A296" s="123" t="str">
        <f>IF(B296&lt;&gt;"", ROWS($A$12:A312), "")</f>
        <v/>
      </c>
      <c r="B296" s="57"/>
      <c r="C296" s="57"/>
      <c r="D296" s="58"/>
      <c r="E296" s="59"/>
      <c r="F296" s="57"/>
      <c r="G296" s="62"/>
      <c r="H296" s="67"/>
      <c r="I296" s="57"/>
      <c r="J296" s="57"/>
      <c r="K296" s="57"/>
      <c r="L296" s="57"/>
      <c r="M296" s="95">
        <f>الجدول2[[#This Row],[سعر البيع]]-الجدول2[[#This Row],[ المستلم من العميل]]</f>
        <v>0</v>
      </c>
      <c r="N296" s="57"/>
      <c r="O296" s="95">
        <f>الجدول2[[#This Row],[سعرالشراء]]-N296</f>
        <v>0</v>
      </c>
      <c r="P296" s="118">
        <f>الجدول2[[#This Row],[سعر البيع]]-الجدول2[[#This Row],[سعرالشراء]]</f>
        <v>0</v>
      </c>
    </row>
    <row r="297" spans="1:16" ht="31.5" customHeight="1" thickTop="1" thickBot="1" x14ac:dyDescent="0.35">
      <c r="A297" s="123" t="str">
        <f>IF(B297&lt;&gt;"", ROWS($A$12:A312), "")</f>
        <v/>
      </c>
      <c r="B297" s="57"/>
      <c r="C297" s="57"/>
      <c r="D297" s="58"/>
      <c r="E297" s="59"/>
      <c r="F297" s="57"/>
      <c r="G297" s="62"/>
      <c r="H297" s="67"/>
      <c r="I297" s="57"/>
      <c r="J297" s="57"/>
      <c r="K297" s="57"/>
      <c r="L297" s="57"/>
      <c r="M297" s="95">
        <f>الجدول2[[#This Row],[سعر البيع]]-الجدول2[[#This Row],[ المستلم من العميل]]</f>
        <v>0</v>
      </c>
      <c r="N297" s="57"/>
      <c r="O297" s="95">
        <f>الجدول2[[#This Row],[سعرالشراء]]-N297</f>
        <v>0</v>
      </c>
      <c r="P297" s="118">
        <f>الجدول2[[#This Row],[سعر البيع]]-الجدول2[[#This Row],[سعرالشراء]]</f>
        <v>0</v>
      </c>
    </row>
    <row r="298" spans="1:16" ht="31.5" customHeight="1" thickTop="1" thickBot="1" x14ac:dyDescent="0.35">
      <c r="A298" s="123" t="str">
        <f>IF(B298&lt;&gt;"", ROWS($A$12:A312), "")</f>
        <v/>
      </c>
      <c r="B298" s="57"/>
      <c r="C298" s="57"/>
      <c r="D298" s="58"/>
      <c r="E298" s="59"/>
      <c r="F298" s="57"/>
      <c r="G298" s="62"/>
      <c r="H298" s="67"/>
      <c r="I298" s="57"/>
      <c r="J298" s="57"/>
      <c r="K298" s="57"/>
      <c r="L298" s="57"/>
      <c r="M298" s="95">
        <f>الجدول2[[#This Row],[سعر البيع]]-الجدول2[[#This Row],[ المستلم من العميل]]</f>
        <v>0</v>
      </c>
      <c r="N298" s="57"/>
      <c r="O298" s="95">
        <f>الجدول2[[#This Row],[سعرالشراء]]-N298</f>
        <v>0</v>
      </c>
      <c r="P298" s="118">
        <f>الجدول2[[#This Row],[سعر البيع]]-الجدول2[[#This Row],[سعرالشراء]]</f>
        <v>0</v>
      </c>
    </row>
    <row r="299" spans="1:16" ht="31.5" customHeight="1" thickTop="1" thickBot="1" x14ac:dyDescent="0.35">
      <c r="A299" s="123" t="str">
        <f>IF(B299&lt;&gt;"", ROWS($A$12:A312), "")</f>
        <v/>
      </c>
      <c r="B299" s="57"/>
      <c r="C299" s="57"/>
      <c r="D299" s="58"/>
      <c r="E299" s="59"/>
      <c r="F299" s="57"/>
      <c r="G299" s="62"/>
      <c r="H299" s="67"/>
      <c r="I299" s="57"/>
      <c r="J299" s="57"/>
      <c r="K299" s="57"/>
      <c r="L299" s="57"/>
      <c r="M299" s="95">
        <f>الجدول2[[#This Row],[سعر البيع]]-الجدول2[[#This Row],[ المستلم من العميل]]</f>
        <v>0</v>
      </c>
      <c r="N299" s="57"/>
      <c r="O299" s="95">
        <f>الجدول2[[#This Row],[سعرالشراء]]-N299</f>
        <v>0</v>
      </c>
      <c r="P299" s="118">
        <f>الجدول2[[#This Row],[سعر البيع]]-الجدول2[[#This Row],[سعرالشراء]]</f>
        <v>0</v>
      </c>
    </row>
    <row r="300" spans="1:16" ht="31.5" customHeight="1" thickTop="1" thickBot="1" x14ac:dyDescent="0.35">
      <c r="A300" s="123" t="str">
        <f>IF(B300&lt;&gt;"", ROWS($A$12:A312), "")</f>
        <v/>
      </c>
      <c r="B300" s="57"/>
      <c r="C300" s="57"/>
      <c r="D300" s="58"/>
      <c r="E300" s="59"/>
      <c r="F300" s="57"/>
      <c r="G300" s="62"/>
      <c r="H300" s="67"/>
      <c r="I300" s="57"/>
      <c r="J300" s="57"/>
      <c r="K300" s="57"/>
      <c r="L300" s="57"/>
      <c r="M300" s="95">
        <f>الجدول2[[#This Row],[سعر البيع]]-الجدول2[[#This Row],[ المستلم من العميل]]</f>
        <v>0</v>
      </c>
      <c r="N300" s="57"/>
      <c r="O300" s="95">
        <f>الجدول2[[#This Row],[سعرالشراء]]-N300</f>
        <v>0</v>
      </c>
      <c r="P300" s="118">
        <f>الجدول2[[#This Row],[سعر البيع]]-الجدول2[[#This Row],[سعرالشراء]]</f>
        <v>0</v>
      </c>
    </row>
    <row r="301" spans="1:16" ht="31.5" customHeight="1" thickTop="1" thickBot="1" x14ac:dyDescent="0.35">
      <c r="A301" s="123" t="str">
        <f>IF(B301&lt;&gt;"", ROWS($A$12:A312), "")</f>
        <v/>
      </c>
      <c r="B301" s="57"/>
      <c r="C301" s="57"/>
      <c r="D301" s="58"/>
      <c r="E301" s="59"/>
      <c r="F301" s="57"/>
      <c r="G301" s="62"/>
      <c r="H301" s="67"/>
      <c r="I301" s="57"/>
      <c r="J301" s="57"/>
      <c r="K301" s="57"/>
      <c r="L301" s="57"/>
      <c r="M301" s="95">
        <f>الجدول2[[#This Row],[سعر البيع]]-الجدول2[[#This Row],[ المستلم من العميل]]</f>
        <v>0</v>
      </c>
      <c r="N301" s="57"/>
      <c r="O301" s="95">
        <f>الجدول2[[#This Row],[سعرالشراء]]-N301</f>
        <v>0</v>
      </c>
      <c r="P301" s="118">
        <f>الجدول2[[#This Row],[سعر البيع]]-الجدول2[[#This Row],[سعرالشراء]]</f>
        <v>0</v>
      </c>
    </row>
    <row r="302" spans="1:16" ht="31.5" customHeight="1" thickTop="1" thickBot="1" x14ac:dyDescent="0.35">
      <c r="A302" s="123" t="str">
        <f>IF(B302&lt;&gt;"", ROWS($A$12:A312), "")</f>
        <v/>
      </c>
      <c r="B302" s="57"/>
      <c r="C302" s="57"/>
      <c r="D302" s="58"/>
      <c r="E302" s="59"/>
      <c r="F302" s="57"/>
      <c r="G302" s="62"/>
      <c r="H302" s="67"/>
      <c r="I302" s="57"/>
      <c r="J302" s="57"/>
      <c r="K302" s="57"/>
      <c r="L302" s="57"/>
      <c r="M302" s="95">
        <f>الجدول2[[#This Row],[سعر البيع]]-الجدول2[[#This Row],[ المستلم من العميل]]</f>
        <v>0</v>
      </c>
      <c r="N302" s="57"/>
      <c r="O302" s="95">
        <f>الجدول2[[#This Row],[سعرالشراء]]-N302</f>
        <v>0</v>
      </c>
      <c r="P302" s="118">
        <f>الجدول2[[#This Row],[سعر البيع]]-الجدول2[[#This Row],[سعرالشراء]]</f>
        <v>0</v>
      </c>
    </row>
    <row r="303" spans="1:16" ht="31.5" customHeight="1" thickTop="1" thickBot="1" x14ac:dyDescent="0.35">
      <c r="A303" s="123" t="str">
        <f>IF(B303&lt;&gt;"", ROWS($A$12:A312), "")</f>
        <v/>
      </c>
      <c r="B303" s="57"/>
      <c r="C303" s="57"/>
      <c r="D303" s="58"/>
      <c r="E303" s="59"/>
      <c r="F303" s="57"/>
      <c r="G303" s="62"/>
      <c r="H303" s="67"/>
      <c r="I303" s="57"/>
      <c r="J303" s="57"/>
      <c r="K303" s="57"/>
      <c r="L303" s="57"/>
      <c r="M303" s="95">
        <f>الجدول2[[#This Row],[سعر البيع]]-الجدول2[[#This Row],[ المستلم من العميل]]</f>
        <v>0</v>
      </c>
      <c r="N303" s="57"/>
      <c r="O303" s="95">
        <f>الجدول2[[#This Row],[سعرالشراء]]-N303</f>
        <v>0</v>
      </c>
      <c r="P303" s="118">
        <f>الجدول2[[#This Row],[سعر البيع]]-الجدول2[[#This Row],[سعرالشراء]]</f>
        <v>0</v>
      </c>
    </row>
    <row r="304" spans="1:16" ht="31.5" customHeight="1" thickTop="1" thickBot="1" x14ac:dyDescent="0.35">
      <c r="A304" s="123" t="str">
        <f>IF(B304&lt;&gt;"", ROWS($A$12:A312), "")</f>
        <v/>
      </c>
      <c r="B304" s="57"/>
      <c r="C304" s="57"/>
      <c r="D304" s="58"/>
      <c r="E304" s="59"/>
      <c r="F304" s="57"/>
      <c r="G304" s="62"/>
      <c r="H304" s="67"/>
      <c r="I304" s="57"/>
      <c r="J304" s="57"/>
      <c r="K304" s="57"/>
      <c r="L304" s="57"/>
      <c r="M304" s="95">
        <f>الجدول2[[#This Row],[سعر البيع]]-الجدول2[[#This Row],[ المستلم من العميل]]</f>
        <v>0</v>
      </c>
      <c r="N304" s="57"/>
      <c r="O304" s="95">
        <f>الجدول2[[#This Row],[سعرالشراء]]-N304</f>
        <v>0</v>
      </c>
      <c r="P304" s="118">
        <f>الجدول2[[#This Row],[سعر البيع]]-الجدول2[[#This Row],[سعرالشراء]]</f>
        <v>0</v>
      </c>
    </row>
    <row r="305" spans="1:16" ht="31.5" customHeight="1" thickTop="1" thickBot="1" x14ac:dyDescent="0.35">
      <c r="A305" s="123" t="str">
        <f>IF(B305&lt;&gt;"", ROWS($A$12:A312), "")</f>
        <v/>
      </c>
      <c r="B305" s="57"/>
      <c r="C305" s="57"/>
      <c r="D305" s="58"/>
      <c r="E305" s="59"/>
      <c r="F305" s="57"/>
      <c r="G305" s="62"/>
      <c r="H305" s="67"/>
      <c r="I305" s="57"/>
      <c r="J305" s="57"/>
      <c r="K305" s="57"/>
      <c r="L305" s="57"/>
      <c r="M305" s="95">
        <f>الجدول2[[#This Row],[سعر البيع]]-الجدول2[[#This Row],[ المستلم من العميل]]</f>
        <v>0</v>
      </c>
      <c r="N305" s="57"/>
      <c r="O305" s="95">
        <f>الجدول2[[#This Row],[سعرالشراء]]-N305</f>
        <v>0</v>
      </c>
      <c r="P305" s="118">
        <f>الجدول2[[#This Row],[سعر البيع]]-الجدول2[[#This Row],[سعرالشراء]]</f>
        <v>0</v>
      </c>
    </row>
    <row r="306" spans="1:16" ht="31.5" customHeight="1" thickTop="1" thickBot="1" x14ac:dyDescent="0.35">
      <c r="A306" s="123" t="str">
        <f>IF(B306&lt;&gt;"", ROWS($A$12:A312), "")</f>
        <v/>
      </c>
      <c r="B306" s="57"/>
      <c r="C306" s="57"/>
      <c r="D306" s="58"/>
      <c r="E306" s="59"/>
      <c r="F306" s="57"/>
      <c r="G306" s="62"/>
      <c r="H306" s="67"/>
      <c r="I306" s="57"/>
      <c r="J306" s="57"/>
      <c r="K306" s="57"/>
      <c r="L306" s="57"/>
      <c r="M306" s="95">
        <f>الجدول2[[#This Row],[سعر البيع]]-الجدول2[[#This Row],[ المستلم من العميل]]</f>
        <v>0</v>
      </c>
      <c r="N306" s="57"/>
      <c r="O306" s="95">
        <f>الجدول2[[#This Row],[سعرالشراء]]-N306</f>
        <v>0</v>
      </c>
      <c r="P306" s="118">
        <f>الجدول2[[#This Row],[سعر البيع]]-الجدول2[[#This Row],[سعرالشراء]]</f>
        <v>0</v>
      </c>
    </row>
    <row r="307" spans="1:16" ht="31.5" customHeight="1" thickTop="1" thickBot="1" x14ac:dyDescent="0.35">
      <c r="A307" s="123" t="str">
        <f>IF(B307&lt;&gt;"", ROWS($A$12:A312), "")</f>
        <v/>
      </c>
      <c r="B307" s="57"/>
      <c r="C307" s="57"/>
      <c r="D307" s="58"/>
      <c r="E307" s="59"/>
      <c r="F307" s="57"/>
      <c r="G307" s="62"/>
      <c r="H307" s="67"/>
      <c r="I307" s="57"/>
      <c r="J307" s="57"/>
      <c r="K307" s="57"/>
      <c r="L307" s="57"/>
      <c r="M307" s="95">
        <f>الجدول2[[#This Row],[سعر البيع]]-الجدول2[[#This Row],[ المستلم من العميل]]</f>
        <v>0</v>
      </c>
      <c r="N307" s="57"/>
      <c r="O307" s="95">
        <f>الجدول2[[#This Row],[سعرالشراء]]-N307</f>
        <v>0</v>
      </c>
      <c r="P307" s="118">
        <f>الجدول2[[#This Row],[سعر البيع]]-الجدول2[[#This Row],[سعرالشراء]]</f>
        <v>0</v>
      </c>
    </row>
    <row r="308" spans="1:16" ht="31.5" customHeight="1" thickTop="1" thickBot="1" x14ac:dyDescent="0.35">
      <c r="A308" s="123" t="str">
        <f>IF(B308&lt;&gt;"", ROWS($A$12:A312), "")</f>
        <v/>
      </c>
      <c r="B308" s="57"/>
      <c r="C308" s="57"/>
      <c r="D308" s="58"/>
      <c r="E308" s="59"/>
      <c r="F308" s="57"/>
      <c r="G308" s="62"/>
      <c r="H308" s="67"/>
      <c r="I308" s="57"/>
      <c r="J308" s="57"/>
      <c r="K308" s="57"/>
      <c r="L308" s="57"/>
      <c r="M308" s="95">
        <f>الجدول2[[#This Row],[سعر البيع]]-الجدول2[[#This Row],[ المستلم من العميل]]</f>
        <v>0</v>
      </c>
      <c r="N308" s="57"/>
      <c r="O308" s="95">
        <f>الجدول2[[#This Row],[سعرالشراء]]-N308</f>
        <v>0</v>
      </c>
      <c r="P308" s="118">
        <f>الجدول2[[#This Row],[سعر البيع]]-الجدول2[[#This Row],[سعرالشراء]]</f>
        <v>0</v>
      </c>
    </row>
    <row r="309" spans="1:16" ht="31.5" customHeight="1" thickTop="1" thickBot="1" x14ac:dyDescent="0.35">
      <c r="A309" s="123" t="str">
        <f>IF(B309&lt;&gt;"", ROWS($A$12:A312), "")</f>
        <v/>
      </c>
      <c r="B309" s="57"/>
      <c r="C309" s="57"/>
      <c r="D309" s="58"/>
      <c r="E309" s="59"/>
      <c r="F309" s="57"/>
      <c r="G309" s="62"/>
      <c r="H309" s="67"/>
      <c r="I309" s="57"/>
      <c r="J309" s="57"/>
      <c r="K309" s="57"/>
      <c r="L309" s="57"/>
      <c r="M309" s="95">
        <f>الجدول2[[#This Row],[سعر البيع]]-الجدول2[[#This Row],[ المستلم من العميل]]</f>
        <v>0</v>
      </c>
      <c r="N309" s="57"/>
      <c r="O309" s="95">
        <f>الجدول2[[#This Row],[سعرالشراء]]-N309</f>
        <v>0</v>
      </c>
      <c r="P309" s="118">
        <f>الجدول2[[#This Row],[سعر البيع]]-الجدول2[[#This Row],[سعرالشراء]]</f>
        <v>0</v>
      </c>
    </row>
    <row r="310" spans="1:16" ht="31.5" customHeight="1" thickTop="1" thickBot="1" x14ac:dyDescent="0.35">
      <c r="A310" s="123" t="str">
        <f>IF(B310&lt;&gt;"", ROWS($A$12:A312), "")</f>
        <v/>
      </c>
      <c r="B310" s="57"/>
      <c r="C310" s="57"/>
      <c r="D310" s="58"/>
      <c r="E310" s="59"/>
      <c r="F310" s="57"/>
      <c r="G310" s="62"/>
      <c r="H310" s="67"/>
      <c r="I310" s="57"/>
      <c r="J310" s="57"/>
      <c r="K310" s="57"/>
      <c r="L310" s="57"/>
      <c r="M310" s="95">
        <f>الجدول2[[#This Row],[سعر البيع]]-الجدول2[[#This Row],[ المستلم من العميل]]</f>
        <v>0</v>
      </c>
      <c r="N310" s="57"/>
      <c r="O310" s="95">
        <f>الجدول2[[#This Row],[سعرالشراء]]-N310</f>
        <v>0</v>
      </c>
      <c r="P310" s="118">
        <f>الجدول2[[#This Row],[سعر البيع]]-الجدول2[[#This Row],[سعرالشراء]]</f>
        <v>0</v>
      </c>
    </row>
    <row r="311" spans="1:16" ht="31.5" customHeight="1" thickTop="1" thickBot="1" x14ac:dyDescent="0.35">
      <c r="A311" s="123" t="str">
        <f>IF(B311&lt;&gt;"", ROWS($A$12:A312), "")</f>
        <v/>
      </c>
      <c r="B311" s="57"/>
      <c r="C311" s="57"/>
      <c r="D311" s="58"/>
      <c r="E311" s="59"/>
      <c r="F311" s="57"/>
      <c r="G311" s="62"/>
      <c r="H311" s="67"/>
      <c r="I311" s="57"/>
      <c r="J311" s="57"/>
      <c r="K311" s="57"/>
      <c r="L311" s="57"/>
      <c r="M311" s="95">
        <f>الجدول2[[#This Row],[سعر البيع]]-الجدول2[[#This Row],[ المستلم من العميل]]</f>
        <v>0</v>
      </c>
      <c r="N311" s="57"/>
      <c r="O311" s="95">
        <f>الجدول2[[#This Row],[سعرالشراء]]-N311</f>
        <v>0</v>
      </c>
      <c r="P311" s="118">
        <f>الجدول2[[#This Row],[سعر البيع]]-الجدول2[[#This Row],[سعرالشراء]]</f>
        <v>0</v>
      </c>
    </row>
    <row r="312" spans="1:16" ht="31.5" customHeight="1" thickTop="1" thickBot="1" x14ac:dyDescent="0.35">
      <c r="A312" s="117" t="str">
        <f>IF(B312&lt;&gt;"", ROWS($A$12:A312), "")</f>
        <v/>
      </c>
      <c r="B312" s="57"/>
      <c r="C312" s="57"/>
      <c r="D312" s="58"/>
      <c r="E312" s="59"/>
      <c r="F312" s="57"/>
      <c r="G312" s="62"/>
      <c r="H312" s="67"/>
      <c r="I312" s="57"/>
      <c r="J312" s="57"/>
      <c r="K312" s="57"/>
      <c r="L312" s="57"/>
      <c r="M312" s="95">
        <f>الجدول2[[#This Row],[سعر البيع]]-الجدول2[[#This Row],[ المستلم من العميل]]</f>
        <v>0</v>
      </c>
      <c r="N312" s="57"/>
      <c r="O312" s="95">
        <f>الجدول2[[#This Row],[سعرالشراء]]-N312</f>
        <v>0</v>
      </c>
      <c r="P312" s="118">
        <f>الجدول2[[#This Row],[سعر البيع]]-الجدول2[[#This Row],[سعرالشراء]]</f>
        <v>0</v>
      </c>
    </row>
    <row r="313" spans="1:16" ht="31.5" customHeight="1" thickTop="1" x14ac:dyDescent="0.3"/>
  </sheetData>
  <sheetProtection algorithmName="SHA-512" hashValue="shmKm9T3cr0BYRCg7hrrvQWKvzu78Sqok1PrxkWJvcc2q1Knvs5TOmxa7JwPdzwpjhM0NCDXlyuvyuE04EMX8A==" saltValue="vYWthZjlUfhF6nHbL0aXCQ==" spinCount="100000" sheet="1" selectLockedCells="1"/>
  <sortState xmlns:xlrd2="http://schemas.microsoft.com/office/spreadsheetml/2017/richdata2" ref="A12:Z111">
    <sortCondition ref="A12"/>
  </sortState>
  <mergeCells count="1">
    <mergeCell ref="A1:P2"/>
  </mergeCells>
  <dataValidations count="1">
    <dataValidation type="list" allowBlank="1" showInputMessage="1" showErrorMessage="1" sqref="H12:H312" xr:uid="{BBA150C0-E9F7-4984-A5A4-CA295E424749}">
      <formula1>"عمل,زيارة,سياحة,علاج,دراسة"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9ABD-990A-49A9-86D0-52DFFD51A76F}">
  <sheetPr codeName="ورقة6"/>
  <dimension ref="B18:M26"/>
  <sheetViews>
    <sheetView rightToLeft="1" workbookViewId="0"/>
  </sheetViews>
  <sheetFormatPr defaultRowHeight="25" customHeight="1" x14ac:dyDescent="0.3"/>
  <cols>
    <col min="1" max="1" width="12.83203125" style="103" customWidth="1"/>
    <col min="2" max="2" width="12.83203125" style="103" bestFit="1" customWidth="1"/>
    <col min="3" max="3" width="13.58203125" style="103" bestFit="1" customWidth="1"/>
    <col min="4" max="4" width="11" style="103" bestFit="1" customWidth="1"/>
    <col min="5" max="5" width="8.6640625" style="103"/>
    <col min="6" max="7" width="12.83203125" style="103" bestFit="1" customWidth="1"/>
    <col min="8" max="8" width="4.75" style="103" bestFit="1" customWidth="1"/>
    <col min="9" max="9" width="12.83203125" style="103" bestFit="1" customWidth="1"/>
    <col min="10" max="10" width="7.33203125" style="103" customWidth="1"/>
    <col min="11" max="11" width="18.9140625" style="103" customWidth="1"/>
    <col min="12" max="12" width="16.5" style="103" bestFit="1" customWidth="1"/>
    <col min="13" max="14" width="11" style="103" bestFit="1" customWidth="1"/>
    <col min="15" max="15" width="16.5" style="103" bestFit="1" customWidth="1"/>
    <col min="16" max="16" width="11" style="103" bestFit="1" customWidth="1"/>
    <col min="17" max="17" width="3.83203125" style="103" bestFit="1" customWidth="1"/>
    <col min="18" max="18" width="3.33203125" style="103" bestFit="1" customWidth="1"/>
    <col min="19" max="19" width="4.75" style="103" bestFit="1" customWidth="1"/>
    <col min="20" max="20" width="11" style="103" bestFit="1" customWidth="1"/>
    <col min="21" max="21" width="4.5" style="103" bestFit="1" customWidth="1"/>
    <col min="22" max="22" width="3.83203125" style="103" bestFit="1" customWidth="1"/>
    <col min="23" max="23" width="3.33203125" style="103" bestFit="1" customWidth="1"/>
    <col min="24" max="24" width="4.75" style="103" bestFit="1" customWidth="1"/>
    <col min="25" max="25" width="24.5" style="103" bestFit="1" customWidth="1"/>
    <col min="26" max="26" width="22.1640625" style="103" bestFit="1" customWidth="1"/>
    <col min="27" max="27" width="16.58203125" style="103" bestFit="1" customWidth="1"/>
    <col min="28" max="16384" width="8.6640625" style="103"/>
  </cols>
  <sheetData>
    <row r="18" spans="2:13" ht="14" x14ac:dyDescent="0.3">
      <c r="K18" s="100" t="s">
        <v>33</v>
      </c>
      <c r="L18" s="79" t="s">
        <v>62</v>
      </c>
      <c r="M18" s="79"/>
    </row>
    <row r="19" spans="2:13" ht="25" customHeight="1" x14ac:dyDescent="0.3">
      <c r="B19" s="102" t="s">
        <v>33</v>
      </c>
      <c r="C19" s="101" t="s">
        <v>50</v>
      </c>
      <c r="K19" s="79"/>
      <c r="L19" s="79"/>
      <c r="M19" s="79"/>
    </row>
    <row r="20" spans="2:13" ht="14" x14ac:dyDescent="0.3">
      <c r="K20" s="79" t="s">
        <v>47</v>
      </c>
      <c r="L20" s="79" t="s">
        <v>48</v>
      </c>
      <c r="M20" s="79" t="s">
        <v>49</v>
      </c>
    </row>
    <row r="21" spans="2:13" ht="14" x14ac:dyDescent="0.3">
      <c r="B21" s="102" t="s">
        <v>44</v>
      </c>
      <c r="C21" s="103" t="s">
        <v>46</v>
      </c>
      <c r="K21" s="81">
        <v>0</v>
      </c>
      <c r="L21" s="81">
        <v>0</v>
      </c>
      <c r="M21" s="81">
        <v>0</v>
      </c>
    </row>
    <row r="22" spans="2:13" ht="14" x14ac:dyDescent="0.3">
      <c r="B22" s="101" t="s">
        <v>45</v>
      </c>
      <c r="C22" s="104"/>
    </row>
    <row r="23" spans="2:13" ht="14" x14ac:dyDescent="0.3">
      <c r="B23"/>
      <c r="C23"/>
    </row>
    <row r="24" spans="2:13" ht="14" x14ac:dyDescent="0.3">
      <c r="B24"/>
      <c r="C24"/>
    </row>
    <row r="25" spans="2:13" ht="25" customHeight="1" x14ac:dyDescent="0.3">
      <c r="B25"/>
      <c r="C25"/>
    </row>
    <row r="26" spans="2:13" ht="25" customHeight="1" x14ac:dyDescent="0.3">
      <c r="B26"/>
      <c r="C26"/>
    </row>
  </sheetData>
  <sheetProtection algorithmName="SHA-512" hashValue="Q67ETlNdcpCB7m6iNy9a0+3QUWjPArxk3VQlZZHKkaOizexDEhgRpgtJAJcfYkl+QFryc1fy9qMk7ItZmOyU7w==" saltValue="GhQgnPLgpM6lFE5T680DTg==" spinCount="100000" sheet="1" objects="1" scenarios="1"/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3575-C9D4-411C-A86B-7351E14C104B}">
  <sheetPr codeName="ورقة3"/>
  <dimension ref="A1:R306"/>
  <sheetViews>
    <sheetView rightToLeft="1" zoomScale="80" zoomScaleNormal="80" workbookViewId="0">
      <selection activeCell="B9" sqref="B9"/>
    </sheetView>
  </sheetViews>
  <sheetFormatPr defaultRowHeight="25.5" customHeight="1" x14ac:dyDescent="0.3"/>
  <cols>
    <col min="1" max="1" width="8.6640625" style="20"/>
    <col min="2" max="2" width="31.1640625" style="20" customWidth="1"/>
    <col min="3" max="3" width="15.25" style="20" customWidth="1"/>
    <col min="4" max="4" width="16" style="35" customWidth="1"/>
    <col min="5" max="5" width="13.4140625" style="30" customWidth="1"/>
    <col min="6" max="6" width="11.08203125" style="20" customWidth="1"/>
    <col min="7" max="7" width="12.5" style="20" customWidth="1"/>
    <col min="8" max="8" width="12.6640625" style="20" customWidth="1"/>
    <col min="9" max="10" width="8.6640625" style="20"/>
    <col min="11" max="11" width="14.4140625" style="20" customWidth="1"/>
    <col min="12" max="12" width="12.6640625" style="20" customWidth="1"/>
    <col min="13" max="13" width="10.9140625" style="20" customWidth="1"/>
    <col min="14" max="14" width="10.33203125" style="20" customWidth="1"/>
    <col min="15" max="15" width="9.1640625" style="20" customWidth="1"/>
    <col min="16" max="16384" width="8.6640625" style="20"/>
  </cols>
  <sheetData>
    <row r="1" spans="1:18" ht="25.5" customHeight="1" x14ac:dyDescent="0.3">
      <c r="A1" s="160" t="s">
        <v>64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/>
      <c r="Q1"/>
      <c r="R1"/>
    </row>
    <row r="2" spans="1:18" ht="25.5" customHeight="1" x14ac:dyDescent="0.3">
      <c r="A2" s="160"/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/>
      <c r="Q2"/>
      <c r="R2"/>
    </row>
    <row r="4" spans="1:18" ht="25.5" customHeight="1" x14ac:dyDescent="0.3">
      <c r="A4" s="50"/>
      <c r="B4" s="50"/>
    </row>
    <row r="6" spans="1:18" ht="25.5" customHeight="1" x14ac:dyDescent="0.3">
      <c r="N6" s="66"/>
    </row>
    <row r="8" spans="1:18" ht="25.5" customHeight="1" thickBot="1" x14ac:dyDescent="0.35"/>
    <row r="9" spans="1:18" ht="25.5" customHeight="1" thickBot="1" x14ac:dyDescent="0.35">
      <c r="B9" s="92"/>
    </row>
    <row r="10" spans="1:18" ht="25.5" customHeight="1" thickBot="1" x14ac:dyDescent="0.35"/>
    <row r="11" spans="1:18" s="21" customFormat="1" ht="25.5" customHeight="1" thickTop="1" thickBot="1" x14ac:dyDescent="0.35">
      <c r="B11" s="17" t="s">
        <v>1</v>
      </c>
      <c r="C11" s="17" t="s">
        <v>4</v>
      </c>
      <c r="D11" s="36" t="s">
        <v>30</v>
      </c>
      <c r="E11" s="31" t="s">
        <v>33</v>
      </c>
      <c r="F11" s="17" t="s">
        <v>41</v>
      </c>
      <c r="G11" s="17" t="s">
        <v>31</v>
      </c>
      <c r="H11" s="17" t="s">
        <v>40</v>
      </c>
      <c r="I11" s="17" t="s">
        <v>39</v>
      </c>
      <c r="J11" s="17" t="s">
        <v>2</v>
      </c>
      <c r="K11" s="17" t="s">
        <v>36</v>
      </c>
      <c r="L11" s="17" t="s">
        <v>35</v>
      </c>
      <c r="M11" s="17" t="s">
        <v>37</v>
      </c>
      <c r="N11" s="17" t="s">
        <v>32</v>
      </c>
      <c r="O11" s="18" t="s">
        <v>6</v>
      </c>
    </row>
    <row r="12" spans="1:18" ht="25.5" customHeight="1" thickTop="1" thickBot="1" x14ac:dyDescent="0.35">
      <c r="B12" s="22"/>
      <c r="C12" s="22"/>
      <c r="D12" s="37"/>
      <c r="E12" s="41"/>
      <c r="F12" s="43"/>
      <c r="G12" s="22"/>
      <c r="H12" s="22"/>
      <c r="I12" s="22"/>
      <c r="J12" s="22"/>
      <c r="K12" s="22"/>
      <c r="L12" s="22"/>
      <c r="M12" s="22"/>
      <c r="N12" s="22"/>
      <c r="O12" s="23"/>
    </row>
    <row r="13" spans="1:18" ht="25.5" customHeight="1" thickTop="1" thickBot="1" x14ac:dyDescent="0.35">
      <c r="B13" s="24"/>
      <c r="C13" s="24"/>
      <c r="D13" s="38"/>
      <c r="E13" s="42"/>
      <c r="F13" s="44"/>
      <c r="G13" s="24"/>
      <c r="H13" s="24"/>
      <c r="I13" s="24"/>
      <c r="J13" s="24"/>
      <c r="K13" s="24"/>
      <c r="L13" s="24"/>
      <c r="M13" s="24"/>
      <c r="N13" s="24"/>
      <c r="O13" s="25"/>
    </row>
    <row r="14" spans="1:18" ht="25.5" customHeight="1" thickTop="1" thickBot="1" x14ac:dyDescent="0.35">
      <c r="B14" s="24"/>
      <c r="C14" s="24"/>
      <c r="D14" s="38"/>
      <c r="E14" s="42"/>
      <c r="F14" s="44"/>
      <c r="G14" s="24"/>
      <c r="H14" s="24"/>
      <c r="I14" s="24"/>
      <c r="J14" s="24"/>
      <c r="K14" s="24"/>
      <c r="L14" s="24"/>
      <c r="M14" s="24"/>
      <c r="N14" s="24"/>
      <c r="O14" s="25"/>
    </row>
    <row r="15" spans="1:18" ht="25.5" customHeight="1" thickTop="1" thickBot="1" x14ac:dyDescent="0.35">
      <c r="B15" s="24"/>
      <c r="C15" s="24"/>
      <c r="D15" s="38"/>
      <c r="E15" s="32"/>
      <c r="F15" s="44"/>
      <c r="G15" s="24"/>
      <c r="H15" s="24"/>
      <c r="I15" s="24"/>
      <c r="J15" s="24"/>
      <c r="K15" s="24"/>
      <c r="L15" s="24"/>
      <c r="M15" s="24"/>
      <c r="N15" s="24"/>
      <c r="O15" s="25"/>
    </row>
    <row r="16" spans="1:18" ht="25.5" customHeight="1" thickTop="1" thickBot="1" x14ac:dyDescent="0.35">
      <c r="B16" s="26"/>
      <c r="C16" s="26"/>
      <c r="D16" s="39"/>
      <c r="E16" s="33"/>
      <c r="F16" s="45"/>
      <c r="G16" s="26"/>
      <c r="H16" s="26"/>
      <c r="I16" s="26"/>
      <c r="J16" s="26"/>
      <c r="K16" s="26"/>
      <c r="L16" s="26"/>
      <c r="M16" s="26"/>
      <c r="N16" s="26"/>
      <c r="O16" s="27"/>
    </row>
    <row r="17" spans="2:15" ht="25.5" customHeight="1" thickTop="1" thickBot="1" x14ac:dyDescent="0.35">
      <c r="B17" s="24"/>
      <c r="C17" s="24"/>
      <c r="D17" s="38"/>
      <c r="E17" s="32"/>
      <c r="F17" s="44"/>
      <c r="G17" s="24"/>
      <c r="H17" s="24"/>
      <c r="I17" s="24"/>
      <c r="J17" s="24"/>
      <c r="K17" s="24"/>
      <c r="L17" s="24"/>
      <c r="M17" s="24"/>
      <c r="N17" s="24"/>
      <c r="O17" s="25"/>
    </row>
    <row r="18" spans="2:15" ht="25.5" customHeight="1" thickTop="1" thickBot="1" x14ac:dyDescent="0.35">
      <c r="B18" s="24"/>
      <c r="C18" s="24"/>
      <c r="D18" s="38"/>
      <c r="E18" s="32"/>
      <c r="F18" s="44"/>
      <c r="G18" s="24"/>
      <c r="H18" s="24"/>
      <c r="I18" s="24"/>
      <c r="J18" s="24"/>
      <c r="K18" s="24"/>
      <c r="L18" s="24"/>
      <c r="M18" s="24"/>
      <c r="N18" s="24"/>
      <c r="O18" s="25"/>
    </row>
    <row r="19" spans="2:15" ht="25.5" customHeight="1" thickTop="1" thickBot="1" x14ac:dyDescent="0.35">
      <c r="B19" s="24"/>
      <c r="C19" s="24"/>
      <c r="D19" s="38"/>
      <c r="E19" s="32"/>
      <c r="F19" s="44"/>
      <c r="G19" s="24"/>
      <c r="H19" s="24"/>
      <c r="I19" s="24"/>
      <c r="J19" s="24"/>
      <c r="K19" s="24"/>
      <c r="L19" s="24"/>
      <c r="M19" s="24"/>
      <c r="N19" s="24"/>
      <c r="O19" s="25"/>
    </row>
    <row r="20" spans="2:15" ht="25.5" customHeight="1" thickTop="1" thickBot="1" x14ac:dyDescent="0.35">
      <c r="B20" s="24"/>
      <c r="C20" s="24"/>
      <c r="D20" s="38"/>
      <c r="E20" s="32"/>
      <c r="F20" s="44"/>
      <c r="G20" s="24"/>
      <c r="H20" s="24"/>
      <c r="I20" s="24"/>
      <c r="J20" s="24"/>
      <c r="K20" s="24"/>
      <c r="L20" s="24"/>
      <c r="M20" s="24"/>
      <c r="N20" s="24"/>
      <c r="O20" s="25"/>
    </row>
    <row r="21" spans="2:15" ht="25.5" customHeight="1" thickTop="1" thickBot="1" x14ac:dyDescent="0.35">
      <c r="B21" s="24"/>
      <c r="C21" s="24"/>
      <c r="D21" s="38"/>
      <c r="E21" s="32"/>
      <c r="F21" s="44"/>
      <c r="G21" s="24"/>
      <c r="H21" s="24"/>
      <c r="I21" s="24"/>
      <c r="J21" s="24"/>
      <c r="K21" s="24"/>
      <c r="L21" s="24"/>
      <c r="M21" s="24"/>
      <c r="N21" s="24"/>
      <c r="O21" s="25"/>
    </row>
    <row r="22" spans="2:15" ht="25.5" customHeight="1" thickTop="1" thickBot="1" x14ac:dyDescent="0.35">
      <c r="B22" s="24"/>
      <c r="C22" s="24"/>
      <c r="D22" s="38"/>
      <c r="E22" s="32"/>
      <c r="F22" s="44"/>
      <c r="G22" s="24"/>
      <c r="H22" s="24"/>
      <c r="I22" s="24"/>
      <c r="J22" s="24"/>
      <c r="K22" s="24"/>
      <c r="L22" s="24"/>
      <c r="M22" s="24"/>
      <c r="N22" s="24"/>
      <c r="O22" s="25"/>
    </row>
    <row r="23" spans="2:15" ht="25.5" customHeight="1" thickTop="1" thickBot="1" x14ac:dyDescent="0.35">
      <c r="B23" s="24"/>
      <c r="C23" s="24"/>
      <c r="D23" s="38"/>
      <c r="E23" s="32"/>
      <c r="F23" s="44"/>
      <c r="G23" s="24"/>
      <c r="H23" s="24"/>
      <c r="I23" s="24"/>
      <c r="J23" s="24"/>
      <c r="K23" s="24"/>
      <c r="L23" s="24"/>
      <c r="M23" s="24"/>
      <c r="N23" s="24"/>
      <c r="O23" s="25"/>
    </row>
    <row r="24" spans="2:15" ht="25.5" customHeight="1" thickTop="1" thickBot="1" x14ac:dyDescent="0.35">
      <c r="B24" s="24"/>
      <c r="C24" s="24"/>
      <c r="D24" s="38"/>
      <c r="E24" s="32"/>
      <c r="F24" s="44"/>
      <c r="G24" s="24"/>
      <c r="H24" s="24"/>
      <c r="I24" s="24"/>
      <c r="J24" s="24"/>
      <c r="K24" s="24"/>
      <c r="L24" s="24"/>
      <c r="M24" s="24"/>
      <c r="N24" s="24"/>
      <c r="O24" s="25"/>
    </row>
    <row r="25" spans="2:15" ht="25.5" customHeight="1" thickTop="1" thickBot="1" x14ac:dyDescent="0.35">
      <c r="B25" s="24"/>
      <c r="C25" s="24"/>
      <c r="D25" s="38"/>
      <c r="E25" s="32"/>
      <c r="F25" s="44"/>
      <c r="G25" s="24"/>
      <c r="H25" s="24"/>
      <c r="I25" s="24"/>
      <c r="J25" s="24"/>
      <c r="K25" s="24"/>
      <c r="L25" s="24"/>
      <c r="M25" s="24"/>
      <c r="N25" s="24"/>
      <c r="O25" s="25"/>
    </row>
    <row r="26" spans="2:15" ht="25.5" customHeight="1" thickTop="1" thickBot="1" x14ac:dyDescent="0.35">
      <c r="B26" s="24"/>
      <c r="C26" s="24"/>
      <c r="D26" s="38"/>
      <c r="E26" s="32"/>
      <c r="F26" s="44"/>
      <c r="G26" s="24"/>
      <c r="H26" s="24"/>
      <c r="I26" s="24"/>
      <c r="J26" s="24"/>
      <c r="K26" s="24"/>
      <c r="L26" s="24"/>
      <c r="M26" s="24"/>
      <c r="N26" s="24"/>
      <c r="O26" s="25"/>
    </row>
    <row r="27" spans="2:15" ht="25.5" customHeight="1" thickTop="1" thickBot="1" x14ac:dyDescent="0.35">
      <c r="B27" s="24"/>
      <c r="C27" s="24"/>
      <c r="D27" s="38"/>
      <c r="E27" s="32"/>
      <c r="F27" s="44"/>
      <c r="G27" s="24"/>
      <c r="H27" s="24"/>
      <c r="I27" s="24"/>
      <c r="J27" s="24"/>
      <c r="K27" s="24"/>
      <c r="L27" s="24"/>
      <c r="M27" s="24"/>
      <c r="N27" s="24"/>
      <c r="O27" s="25"/>
    </row>
    <row r="28" spans="2:15" ht="25.5" customHeight="1" thickTop="1" thickBot="1" x14ac:dyDescent="0.35">
      <c r="B28" s="24"/>
      <c r="C28" s="24"/>
      <c r="D28" s="38"/>
      <c r="E28" s="32"/>
      <c r="F28" s="44"/>
      <c r="G28" s="24"/>
      <c r="H28" s="24"/>
      <c r="I28" s="24"/>
      <c r="J28" s="24"/>
      <c r="K28" s="24"/>
      <c r="L28" s="24"/>
      <c r="M28" s="24"/>
      <c r="N28" s="24"/>
      <c r="O28" s="25"/>
    </row>
    <row r="29" spans="2:15" ht="25.5" customHeight="1" thickTop="1" thickBot="1" x14ac:dyDescent="0.35">
      <c r="B29" s="24"/>
      <c r="C29" s="24"/>
      <c r="D29" s="38"/>
      <c r="E29" s="32"/>
      <c r="F29" s="44"/>
      <c r="G29" s="24"/>
      <c r="H29" s="24"/>
      <c r="I29" s="24"/>
      <c r="J29" s="24"/>
      <c r="K29" s="24"/>
      <c r="L29" s="24"/>
      <c r="M29" s="24"/>
      <c r="N29" s="24"/>
      <c r="O29" s="25"/>
    </row>
    <row r="30" spans="2:15" ht="25.5" customHeight="1" thickTop="1" thickBot="1" x14ac:dyDescent="0.35">
      <c r="B30" s="24"/>
      <c r="C30" s="24"/>
      <c r="D30" s="38"/>
      <c r="E30" s="32"/>
      <c r="F30" s="44"/>
      <c r="G30" s="24"/>
      <c r="H30" s="24"/>
      <c r="I30" s="24"/>
      <c r="J30" s="24"/>
      <c r="K30" s="24"/>
      <c r="L30" s="24"/>
      <c r="M30" s="24"/>
      <c r="N30" s="24"/>
      <c r="O30" s="25"/>
    </row>
    <row r="31" spans="2:15" ht="25.5" customHeight="1" thickTop="1" thickBot="1" x14ac:dyDescent="0.35">
      <c r="B31" s="24"/>
      <c r="C31" s="24"/>
      <c r="D31" s="38"/>
      <c r="E31" s="32"/>
      <c r="F31" s="44"/>
      <c r="G31" s="24"/>
      <c r="H31" s="24"/>
      <c r="I31" s="24"/>
      <c r="J31" s="24"/>
      <c r="K31" s="24"/>
      <c r="L31" s="24"/>
      <c r="M31" s="24"/>
      <c r="N31" s="24"/>
      <c r="O31" s="25"/>
    </row>
    <row r="32" spans="2:15" ht="25.5" customHeight="1" thickTop="1" thickBot="1" x14ac:dyDescent="0.35">
      <c r="B32" s="24"/>
      <c r="C32" s="24"/>
      <c r="D32" s="38"/>
      <c r="E32" s="32"/>
      <c r="F32" s="44"/>
      <c r="G32" s="24"/>
      <c r="H32" s="24"/>
      <c r="I32" s="24"/>
      <c r="J32" s="24"/>
      <c r="K32" s="24"/>
      <c r="L32" s="24"/>
      <c r="M32" s="24"/>
      <c r="N32" s="24"/>
      <c r="O32" s="25"/>
    </row>
    <row r="33" spans="2:15" ht="25.5" customHeight="1" thickTop="1" thickBot="1" x14ac:dyDescent="0.35">
      <c r="B33" s="24"/>
      <c r="C33" s="24"/>
      <c r="D33" s="38"/>
      <c r="E33" s="32"/>
      <c r="F33" s="44"/>
      <c r="G33" s="24"/>
      <c r="H33" s="24"/>
      <c r="I33" s="24"/>
      <c r="J33" s="24"/>
      <c r="K33" s="24"/>
      <c r="L33" s="24"/>
      <c r="M33" s="24"/>
      <c r="N33" s="24"/>
      <c r="O33" s="25"/>
    </row>
    <row r="34" spans="2:15" ht="25.5" customHeight="1" thickTop="1" thickBot="1" x14ac:dyDescent="0.35">
      <c r="B34" s="24"/>
      <c r="C34" s="24"/>
      <c r="D34" s="38"/>
      <c r="E34" s="32"/>
      <c r="F34" s="44"/>
      <c r="G34" s="24"/>
      <c r="H34" s="24"/>
      <c r="I34" s="24"/>
      <c r="J34" s="24"/>
      <c r="K34" s="24"/>
      <c r="L34" s="24"/>
      <c r="M34" s="24"/>
      <c r="N34" s="24"/>
      <c r="O34" s="25"/>
    </row>
    <row r="35" spans="2:15" ht="25.5" customHeight="1" thickTop="1" thickBot="1" x14ac:dyDescent="0.35">
      <c r="B35" s="24"/>
      <c r="C35" s="24"/>
      <c r="D35" s="38"/>
      <c r="E35" s="32"/>
      <c r="F35" s="44"/>
      <c r="G35" s="24"/>
      <c r="H35" s="24"/>
      <c r="I35" s="24"/>
      <c r="J35" s="24"/>
      <c r="K35" s="24"/>
      <c r="L35" s="24"/>
      <c r="M35" s="24"/>
      <c r="N35" s="24"/>
      <c r="O35" s="25"/>
    </row>
    <row r="36" spans="2:15" ht="25.5" customHeight="1" thickTop="1" thickBot="1" x14ac:dyDescent="0.35">
      <c r="B36" s="24"/>
      <c r="C36" s="24"/>
      <c r="D36" s="38"/>
      <c r="E36" s="32"/>
      <c r="F36" s="44"/>
      <c r="G36" s="24"/>
      <c r="H36" s="24"/>
      <c r="I36" s="24"/>
      <c r="J36" s="24"/>
      <c r="K36" s="24"/>
      <c r="L36" s="24"/>
      <c r="M36" s="24"/>
      <c r="N36" s="24"/>
      <c r="O36" s="25"/>
    </row>
    <row r="37" spans="2:15" ht="25.5" customHeight="1" thickTop="1" thickBot="1" x14ac:dyDescent="0.35">
      <c r="B37" s="24"/>
      <c r="C37" s="24"/>
      <c r="D37" s="38"/>
      <c r="E37" s="32"/>
      <c r="F37" s="44"/>
      <c r="G37" s="24"/>
      <c r="H37" s="24"/>
      <c r="I37" s="24"/>
      <c r="J37" s="24"/>
      <c r="K37" s="24"/>
      <c r="L37" s="24"/>
      <c r="M37" s="24"/>
      <c r="N37" s="24"/>
      <c r="O37" s="25"/>
    </row>
    <row r="38" spans="2:15" ht="25.5" customHeight="1" thickTop="1" thickBot="1" x14ac:dyDescent="0.35">
      <c r="B38" s="24"/>
      <c r="C38" s="24"/>
      <c r="D38" s="38"/>
      <c r="E38" s="32"/>
      <c r="F38" s="44"/>
      <c r="G38" s="24"/>
      <c r="H38" s="24"/>
      <c r="I38" s="24"/>
      <c r="J38" s="24"/>
      <c r="K38" s="24"/>
      <c r="L38" s="24"/>
      <c r="M38" s="24"/>
      <c r="N38" s="24"/>
      <c r="O38" s="25"/>
    </row>
    <row r="39" spans="2:15" ht="25.5" customHeight="1" thickTop="1" thickBot="1" x14ac:dyDescent="0.35">
      <c r="B39" s="24"/>
      <c r="C39" s="24"/>
      <c r="D39" s="38"/>
      <c r="E39" s="32"/>
      <c r="F39" s="44"/>
      <c r="G39" s="24"/>
      <c r="H39" s="24"/>
      <c r="I39" s="24"/>
      <c r="J39" s="24"/>
      <c r="K39" s="24"/>
      <c r="L39" s="24"/>
      <c r="M39" s="24"/>
      <c r="N39" s="24"/>
      <c r="O39" s="25"/>
    </row>
    <row r="40" spans="2:15" ht="25.5" customHeight="1" thickTop="1" thickBot="1" x14ac:dyDescent="0.35">
      <c r="B40" s="24"/>
      <c r="C40" s="24"/>
      <c r="D40" s="38"/>
      <c r="E40" s="32"/>
      <c r="F40" s="44"/>
      <c r="G40" s="24"/>
      <c r="H40" s="24"/>
      <c r="I40" s="24"/>
      <c r="J40" s="24"/>
      <c r="K40" s="24"/>
      <c r="L40" s="24"/>
      <c r="M40" s="24"/>
      <c r="N40" s="24"/>
      <c r="O40" s="25"/>
    </row>
    <row r="41" spans="2:15" ht="25.5" customHeight="1" thickTop="1" thickBot="1" x14ac:dyDescent="0.35">
      <c r="B41" s="24"/>
      <c r="C41" s="24"/>
      <c r="D41" s="38"/>
      <c r="E41" s="32"/>
      <c r="F41" s="44"/>
      <c r="G41" s="24"/>
      <c r="H41" s="24"/>
      <c r="I41" s="24"/>
      <c r="J41" s="24"/>
      <c r="K41" s="24"/>
      <c r="L41" s="24"/>
      <c r="M41" s="24"/>
      <c r="N41" s="24"/>
      <c r="O41" s="25"/>
    </row>
    <row r="42" spans="2:15" ht="25.5" customHeight="1" thickTop="1" thickBot="1" x14ac:dyDescent="0.35">
      <c r="B42" s="24"/>
      <c r="C42" s="24"/>
      <c r="D42" s="38"/>
      <c r="E42" s="32"/>
      <c r="F42" s="44"/>
      <c r="G42" s="24"/>
      <c r="H42" s="24"/>
      <c r="I42" s="24"/>
      <c r="J42" s="24"/>
      <c r="K42" s="24"/>
      <c r="L42" s="24"/>
      <c r="M42" s="24"/>
      <c r="N42" s="24"/>
      <c r="O42" s="25"/>
    </row>
    <row r="43" spans="2:15" ht="25.5" customHeight="1" thickTop="1" thickBot="1" x14ac:dyDescent="0.35">
      <c r="B43" s="24"/>
      <c r="C43" s="24"/>
      <c r="D43" s="38"/>
      <c r="E43" s="32"/>
      <c r="F43" s="44"/>
      <c r="G43" s="24"/>
      <c r="H43" s="24"/>
      <c r="I43" s="24"/>
      <c r="J43" s="24"/>
      <c r="K43" s="24"/>
      <c r="L43" s="24"/>
      <c r="M43" s="24"/>
      <c r="N43" s="24"/>
      <c r="O43" s="25"/>
    </row>
    <row r="44" spans="2:15" ht="25.5" customHeight="1" thickTop="1" thickBot="1" x14ac:dyDescent="0.35">
      <c r="B44" s="24"/>
      <c r="C44" s="24"/>
      <c r="D44" s="38"/>
      <c r="E44" s="32"/>
      <c r="F44" s="44"/>
      <c r="G44" s="24"/>
      <c r="H44" s="24"/>
      <c r="I44" s="24"/>
      <c r="J44" s="24"/>
      <c r="K44" s="24"/>
      <c r="L44" s="24"/>
      <c r="M44" s="24"/>
      <c r="N44" s="24"/>
      <c r="O44" s="25"/>
    </row>
    <row r="45" spans="2:15" ht="25.5" customHeight="1" thickTop="1" thickBot="1" x14ac:dyDescent="0.35">
      <c r="B45" s="24"/>
      <c r="C45" s="24"/>
      <c r="D45" s="38"/>
      <c r="E45" s="32"/>
      <c r="F45" s="44"/>
      <c r="G45" s="24"/>
      <c r="H45" s="24"/>
      <c r="I45" s="24"/>
      <c r="J45" s="24"/>
      <c r="K45" s="24"/>
      <c r="L45" s="24"/>
      <c r="M45" s="24"/>
      <c r="N45" s="24"/>
      <c r="O45" s="25"/>
    </row>
    <row r="46" spans="2:15" ht="25.5" customHeight="1" thickTop="1" thickBot="1" x14ac:dyDescent="0.35">
      <c r="B46" s="24"/>
      <c r="C46" s="24"/>
      <c r="D46" s="38"/>
      <c r="E46" s="32"/>
      <c r="F46" s="44"/>
      <c r="G46" s="24"/>
      <c r="H46" s="24"/>
      <c r="I46" s="24"/>
      <c r="J46" s="24"/>
      <c r="K46" s="24"/>
      <c r="L46" s="24"/>
      <c r="M46" s="24"/>
      <c r="N46" s="24"/>
      <c r="O46" s="25"/>
    </row>
    <row r="47" spans="2:15" ht="25.5" customHeight="1" thickTop="1" thickBot="1" x14ac:dyDescent="0.35">
      <c r="B47" s="24"/>
      <c r="C47" s="24"/>
      <c r="D47" s="38"/>
      <c r="E47" s="32"/>
      <c r="F47" s="44"/>
      <c r="G47" s="24"/>
      <c r="H47" s="24"/>
      <c r="I47" s="24"/>
      <c r="J47" s="24"/>
      <c r="K47" s="24"/>
      <c r="L47" s="24"/>
      <c r="M47" s="24"/>
      <c r="N47" s="24"/>
      <c r="O47" s="25"/>
    </row>
    <row r="48" spans="2:15" ht="25.5" customHeight="1" thickTop="1" thickBot="1" x14ac:dyDescent="0.35">
      <c r="B48" s="24"/>
      <c r="C48" s="24"/>
      <c r="D48" s="38"/>
      <c r="E48" s="32"/>
      <c r="F48" s="44"/>
      <c r="G48" s="24"/>
      <c r="H48" s="24"/>
      <c r="I48" s="24"/>
      <c r="J48" s="24"/>
      <c r="K48" s="24"/>
      <c r="L48" s="24"/>
      <c r="M48" s="24"/>
      <c r="N48" s="24"/>
      <c r="O48" s="25"/>
    </row>
    <row r="49" spans="2:15" ht="25.5" customHeight="1" thickTop="1" thickBot="1" x14ac:dyDescent="0.35">
      <c r="B49" s="24"/>
      <c r="C49" s="24"/>
      <c r="D49" s="38"/>
      <c r="E49" s="32"/>
      <c r="F49" s="44"/>
      <c r="G49" s="24"/>
      <c r="H49" s="24"/>
      <c r="I49" s="24"/>
      <c r="J49" s="24"/>
      <c r="K49" s="24"/>
      <c r="L49" s="24"/>
      <c r="M49" s="24"/>
      <c r="N49" s="24"/>
      <c r="O49" s="25"/>
    </row>
    <row r="50" spans="2:15" ht="25.5" customHeight="1" thickTop="1" thickBot="1" x14ac:dyDescent="0.35">
      <c r="B50" s="24"/>
      <c r="C50" s="24"/>
      <c r="D50" s="38"/>
      <c r="E50" s="32"/>
      <c r="F50" s="44"/>
      <c r="G50" s="24"/>
      <c r="H50" s="24"/>
      <c r="I50" s="24"/>
      <c r="J50" s="24"/>
      <c r="K50" s="24"/>
      <c r="L50" s="24"/>
      <c r="M50" s="24"/>
      <c r="N50" s="24"/>
      <c r="O50" s="25"/>
    </row>
    <row r="51" spans="2:15" ht="25.5" customHeight="1" thickTop="1" thickBot="1" x14ac:dyDescent="0.35">
      <c r="B51" s="24"/>
      <c r="C51" s="24"/>
      <c r="D51" s="38"/>
      <c r="E51" s="32"/>
      <c r="F51" s="44"/>
      <c r="G51" s="24"/>
      <c r="H51" s="24"/>
      <c r="I51" s="24"/>
      <c r="J51" s="24"/>
      <c r="K51" s="24"/>
      <c r="L51" s="24"/>
      <c r="M51" s="24"/>
      <c r="N51" s="24"/>
      <c r="O51" s="25"/>
    </row>
    <row r="52" spans="2:15" ht="25.5" customHeight="1" thickTop="1" thickBot="1" x14ac:dyDescent="0.35">
      <c r="B52" s="24"/>
      <c r="C52" s="24"/>
      <c r="D52" s="38"/>
      <c r="E52" s="32"/>
      <c r="F52" s="44"/>
      <c r="G52" s="24"/>
      <c r="H52" s="24"/>
      <c r="I52" s="24"/>
      <c r="J52" s="24"/>
      <c r="K52" s="24"/>
      <c r="L52" s="24"/>
      <c r="M52" s="24"/>
      <c r="N52" s="24"/>
      <c r="O52" s="25"/>
    </row>
    <row r="53" spans="2:15" ht="25.5" customHeight="1" thickTop="1" thickBot="1" x14ac:dyDescent="0.35">
      <c r="B53" s="24"/>
      <c r="C53" s="24"/>
      <c r="D53" s="38"/>
      <c r="E53" s="32"/>
      <c r="F53" s="44"/>
      <c r="G53" s="24"/>
      <c r="H53" s="24"/>
      <c r="I53" s="24"/>
      <c r="J53" s="24"/>
      <c r="K53" s="24"/>
      <c r="L53" s="24"/>
      <c r="M53" s="24"/>
      <c r="N53" s="24"/>
      <c r="O53" s="25"/>
    </row>
    <row r="54" spans="2:15" ht="25.5" customHeight="1" thickTop="1" thickBot="1" x14ac:dyDescent="0.35">
      <c r="B54" s="24"/>
      <c r="C54" s="24"/>
      <c r="D54" s="38"/>
      <c r="E54" s="32"/>
      <c r="F54" s="44"/>
      <c r="G54" s="24"/>
      <c r="H54" s="24"/>
      <c r="I54" s="24"/>
      <c r="J54" s="24"/>
      <c r="K54" s="24"/>
      <c r="L54" s="24"/>
      <c r="M54" s="24"/>
      <c r="N54" s="24"/>
      <c r="O54" s="25"/>
    </row>
    <row r="55" spans="2:15" ht="25.5" customHeight="1" thickTop="1" thickBot="1" x14ac:dyDescent="0.35">
      <c r="B55" s="24"/>
      <c r="C55" s="24"/>
      <c r="D55" s="38"/>
      <c r="E55" s="32"/>
      <c r="F55" s="44"/>
      <c r="G55" s="24"/>
      <c r="H55" s="24"/>
      <c r="I55" s="24"/>
      <c r="J55" s="24"/>
      <c r="K55" s="24"/>
      <c r="L55" s="24"/>
      <c r="M55" s="24"/>
      <c r="N55" s="24"/>
      <c r="O55" s="25"/>
    </row>
    <row r="56" spans="2:15" ht="25.5" customHeight="1" thickTop="1" thickBot="1" x14ac:dyDescent="0.35">
      <c r="B56" s="24"/>
      <c r="C56" s="24"/>
      <c r="D56" s="38"/>
      <c r="E56" s="32"/>
      <c r="F56" s="44"/>
      <c r="G56" s="24"/>
      <c r="H56" s="24"/>
      <c r="I56" s="24"/>
      <c r="J56" s="24"/>
      <c r="K56" s="24"/>
      <c r="L56" s="24"/>
      <c r="M56" s="24"/>
      <c r="N56" s="24"/>
      <c r="O56" s="25"/>
    </row>
    <row r="57" spans="2:15" ht="25.5" customHeight="1" thickTop="1" thickBot="1" x14ac:dyDescent="0.35">
      <c r="B57" s="24"/>
      <c r="C57" s="24"/>
      <c r="D57" s="38"/>
      <c r="E57" s="32"/>
      <c r="F57" s="44"/>
      <c r="G57" s="24"/>
      <c r="H57" s="24"/>
      <c r="I57" s="24"/>
      <c r="J57" s="24"/>
      <c r="K57" s="24"/>
      <c r="L57" s="24"/>
      <c r="M57" s="24"/>
      <c r="N57" s="24"/>
      <c r="O57" s="25"/>
    </row>
    <row r="58" spans="2:15" ht="25.5" customHeight="1" thickTop="1" thickBot="1" x14ac:dyDescent="0.35">
      <c r="B58" s="24"/>
      <c r="C58" s="24"/>
      <c r="D58" s="38"/>
      <c r="E58" s="32"/>
      <c r="F58" s="44"/>
      <c r="G58" s="24"/>
      <c r="H58" s="24"/>
      <c r="I58" s="24"/>
      <c r="J58" s="24"/>
      <c r="K58" s="24"/>
      <c r="L58" s="24"/>
      <c r="M58" s="24"/>
      <c r="N58" s="24"/>
      <c r="O58" s="25"/>
    </row>
    <row r="59" spans="2:15" ht="25.5" customHeight="1" thickTop="1" thickBot="1" x14ac:dyDescent="0.35">
      <c r="B59" s="24"/>
      <c r="C59" s="24"/>
      <c r="D59" s="38"/>
      <c r="E59" s="32"/>
      <c r="F59" s="44"/>
      <c r="G59" s="24"/>
      <c r="H59" s="24"/>
      <c r="I59" s="24"/>
      <c r="J59" s="24"/>
      <c r="K59" s="24"/>
      <c r="L59" s="24"/>
      <c r="M59" s="24"/>
      <c r="N59" s="24"/>
      <c r="O59" s="25"/>
    </row>
    <row r="60" spans="2:15" ht="25.5" customHeight="1" thickTop="1" thickBot="1" x14ac:dyDescent="0.35">
      <c r="B60" s="24"/>
      <c r="C60" s="24"/>
      <c r="D60" s="38"/>
      <c r="E60" s="32"/>
      <c r="F60" s="44"/>
      <c r="G60" s="24"/>
      <c r="H60" s="24"/>
      <c r="I60" s="24"/>
      <c r="J60" s="24"/>
      <c r="K60" s="24"/>
      <c r="L60" s="24"/>
      <c r="M60" s="24"/>
      <c r="N60" s="24"/>
      <c r="O60" s="25"/>
    </row>
    <row r="61" spans="2:15" ht="25.5" customHeight="1" thickTop="1" thickBot="1" x14ac:dyDescent="0.35">
      <c r="B61" s="24"/>
      <c r="C61" s="24"/>
      <c r="D61" s="38"/>
      <c r="E61" s="32"/>
      <c r="F61" s="44"/>
      <c r="G61" s="24"/>
      <c r="H61" s="24"/>
      <c r="I61" s="24"/>
      <c r="J61" s="24"/>
      <c r="K61" s="24"/>
      <c r="L61" s="24"/>
      <c r="M61" s="24"/>
      <c r="N61" s="24"/>
      <c r="O61" s="25"/>
    </row>
    <row r="62" spans="2:15" ht="25.5" customHeight="1" thickTop="1" thickBot="1" x14ac:dyDescent="0.35">
      <c r="B62" s="24"/>
      <c r="C62" s="24"/>
      <c r="D62" s="38"/>
      <c r="E62" s="32"/>
      <c r="F62" s="44"/>
      <c r="G62" s="24"/>
      <c r="H62" s="24"/>
      <c r="I62" s="24"/>
      <c r="J62" s="24"/>
      <c r="K62" s="24"/>
      <c r="L62" s="24"/>
      <c r="M62" s="24"/>
      <c r="N62" s="24"/>
      <c r="O62" s="25"/>
    </row>
    <row r="63" spans="2:15" ht="25.5" customHeight="1" thickTop="1" thickBot="1" x14ac:dyDescent="0.35">
      <c r="B63" s="24"/>
      <c r="C63" s="24"/>
      <c r="D63" s="38"/>
      <c r="E63" s="32"/>
      <c r="F63" s="44"/>
      <c r="G63" s="24"/>
      <c r="H63" s="24"/>
      <c r="I63" s="24"/>
      <c r="J63" s="24"/>
      <c r="K63" s="24"/>
      <c r="L63" s="24"/>
      <c r="M63" s="24"/>
      <c r="N63" s="24"/>
      <c r="O63" s="25"/>
    </row>
    <row r="64" spans="2:15" ht="25.5" customHeight="1" thickTop="1" thickBot="1" x14ac:dyDescent="0.35">
      <c r="B64" s="24"/>
      <c r="C64" s="24"/>
      <c r="D64" s="38"/>
      <c r="E64" s="32"/>
      <c r="F64" s="44"/>
      <c r="G64" s="24"/>
      <c r="H64" s="24"/>
      <c r="I64" s="24"/>
      <c r="J64" s="24"/>
      <c r="K64" s="24"/>
      <c r="L64" s="24"/>
      <c r="M64" s="24"/>
      <c r="N64" s="24"/>
      <c r="O64" s="25"/>
    </row>
    <row r="65" spans="2:15" ht="25.5" customHeight="1" thickTop="1" thickBot="1" x14ac:dyDescent="0.35">
      <c r="B65" s="24"/>
      <c r="C65" s="24"/>
      <c r="D65" s="38"/>
      <c r="E65" s="32"/>
      <c r="F65" s="44"/>
      <c r="G65" s="24"/>
      <c r="H65" s="24"/>
      <c r="I65" s="24"/>
      <c r="J65" s="24"/>
      <c r="K65" s="24"/>
      <c r="L65" s="24"/>
      <c r="M65" s="24"/>
      <c r="N65" s="24"/>
      <c r="O65" s="25"/>
    </row>
    <row r="66" spans="2:15" ht="25.5" customHeight="1" thickTop="1" thickBot="1" x14ac:dyDescent="0.35">
      <c r="B66" s="24"/>
      <c r="C66" s="24"/>
      <c r="D66" s="38"/>
      <c r="E66" s="32"/>
      <c r="F66" s="44"/>
      <c r="G66" s="24"/>
      <c r="H66" s="24"/>
      <c r="I66" s="24"/>
      <c r="J66" s="24"/>
      <c r="K66" s="24"/>
      <c r="L66" s="24"/>
      <c r="M66" s="24"/>
      <c r="N66" s="24"/>
      <c r="O66" s="25"/>
    </row>
    <row r="67" spans="2:15" ht="25.5" customHeight="1" thickTop="1" thickBot="1" x14ac:dyDescent="0.35">
      <c r="B67" s="24"/>
      <c r="C67" s="24"/>
      <c r="D67" s="38"/>
      <c r="E67" s="32"/>
      <c r="F67" s="44"/>
      <c r="G67" s="24"/>
      <c r="H67" s="24"/>
      <c r="I67" s="24"/>
      <c r="J67" s="24"/>
      <c r="K67" s="24"/>
      <c r="L67" s="24"/>
      <c r="M67" s="24"/>
      <c r="N67" s="24"/>
      <c r="O67" s="25"/>
    </row>
    <row r="68" spans="2:15" ht="25.5" customHeight="1" thickTop="1" thickBot="1" x14ac:dyDescent="0.35">
      <c r="B68" s="24"/>
      <c r="C68" s="24"/>
      <c r="D68" s="38"/>
      <c r="E68" s="32"/>
      <c r="F68" s="44"/>
      <c r="G68" s="24"/>
      <c r="H68" s="24"/>
      <c r="I68" s="24"/>
      <c r="J68" s="24"/>
      <c r="K68" s="24"/>
      <c r="L68" s="24"/>
      <c r="M68" s="24"/>
      <c r="N68" s="24"/>
      <c r="O68" s="25"/>
    </row>
    <row r="69" spans="2:15" ht="25.5" customHeight="1" thickTop="1" thickBot="1" x14ac:dyDescent="0.35">
      <c r="B69" s="24"/>
      <c r="C69" s="24"/>
      <c r="D69" s="38"/>
      <c r="E69" s="32"/>
      <c r="F69" s="44"/>
      <c r="G69" s="24"/>
      <c r="H69" s="24"/>
      <c r="I69" s="24"/>
      <c r="J69" s="24"/>
      <c r="K69" s="24"/>
      <c r="L69" s="24"/>
      <c r="M69" s="24"/>
      <c r="N69" s="24"/>
      <c r="O69" s="25"/>
    </row>
    <row r="70" spans="2:15" ht="25.5" customHeight="1" thickTop="1" thickBot="1" x14ac:dyDescent="0.35">
      <c r="B70" s="24"/>
      <c r="C70" s="24"/>
      <c r="D70" s="38"/>
      <c r="E70" s="32"/>
      <c r="F70" s="44"/>
      <c r="G70" s="24"/>
      <c r="H70" s="24"/>
      <c r="I70" s="24"/>
      <c r="J70" s="24"/>
      <c r="K70" s="24"/>
      <c r="L70" s="24"/>
      <c r="M70" s="24"/>
      <c r="N70" s="24"/>
      <c r="O70" s="25"/>
    </row>
    <row r="71" spans="2:15" ht="25.5" customHeight="1" thickTop="1" thickBot="1" x14ac:dyDescent="0.35">
      <c r="B71" s="24"/>
      <c r="C71" s="24"/>
      <c r="D71" s="38"/>
      <c r="E71" s="32"/>
      <c r="F71" s="44"/>
      <c r="G71" s="24"/>
      <c r="H71" s="24"/>
      <c r="I71" s="24"/>
      <c r="J71" s="24"/>
      <c r="K71" s="24"/>
      <c r="L71" s="24"/>
      <c r="M71" s="24"/>
      <c r="N71" s="24"/>
      <c r="O71" s="25"/>
    </row>
    <row r="72" spans="2:15" ht="25.5" customHeight="1" thickTop="1" thickBot="1" x14ac:dyDescent="0.35">
      <c r="B72" s="24"/>
      <c r="C72" s="24"/>
      <c r="D72" s="38"/>
      <c r="E72" s="32"/>
      <c r="F72" s="44"/>
      <c r="G72" s="24"/>
      <c r="H72" s="24"/>
      <c r="I72" s="24"/>
      <c r="J72" s="24"/>
      <c r="K72" s="24"/>
      <c r="L72" s="24"/>
      <c r="M72" s="24"/>
      <c r="N72" s="24"/>
      <c r="O72" s="25"/>
    </row>
    <row r="73" spans="2:15" ht="25.5" customHeight="1" thickTop="1" thickBot="1" x14ac:dyDescent="0.35">
      <c r="B73" s="24"/>
      <c r="C73" s="24"/>
      <c r="D73" s="38"/>
      <c r="E73" s="32"/>
      <c r="F73" s="44"/>
      <c r="G73" s="24"/>
      <c r="H73" s="24"/>
      <c r="I73" s="24"/>
      <c r="J73" s="24"/>
      <c r="K73" s="24"/>
      <c r="L73" s="24"/>
      <c r="M73" s="24"/>
      <c r="N73" s="24"/>
      <c r="O73" s="25"/>
    </row>
    <row r="74" spans="2:15" ht="25.5" customHeight="1" thickTop="1" thickBot="1" x14ac:dyDescent="0.35">
      <c r="B74" s="24"/>
      <c r="C74" s="24"/>
      <c r="D74" s="38"/>
      <c r="E74" s="32"/>
      <c r="F74" s="44"/>
      <c r="G74" s="24"/>
      <c r="H74" s="24"/>
      <c r="I74" s="24"/>
      <c r="J74" s="24"/>
      <c r="K74" s="24"/>
      <c r="L74" s="24"/>
      <c r="M74" s="24"/>
      <c r="N74" s="24"/>
      <c r="O74" s="25"/>
    </row>
    <row r="75" spans="2:15" ht="25.5" customHeight="1" thickTop="1" thickBot="1" x14ac:dyDescent="0.35">
      <c r="B75" s="24"/>
      <c r="C75" s="24"/>
      <c r="D75" s="38"/>
      <c r="E75" s="32"/>
      <c r="F75" s="44"/>
      <c r="G75" s="24"/>
      <c r="H75" s="24"/>
      <c r="I75" s="24"/>
      <c r="J75" s="24"/>
      <c r="K75" s="24"/>
      <c r="L75" s="24"/>
      <c r="M75" s="24"/>
      <c r="N75" s="24"/>
      <c r="O75" s="25"/>
    </row>
    <row r="76" spans="2:15" ht="25.5" customHeight="1" thickTop="1" thickBot="1" x14ac:dyDescent="0.35">
      <c r="B76" s="24"/>
      <c r="C76" s="24"/>
      <c r="D76" s="38"/>
      <c r="E76" s="32"/>
      <c r="F76" s="44"/>
      <c r="G76" s="24"/>
      <c r="H76" s="24"/>
      <c r="I76" s="24"/>
      <c r="J76" s="24"/>
      <c r="K76" s="24"/>
      <c r="L76" s="24"/>
      <c r="M76" s="24"/>
      <c r="N76" s="24"/>
      <c r="O76" s="25"/>
    </row>
    <row r="77" spans="2:15" ht="25.5" customHeight="1" thickTop="1" thickBot="1" x14ac:dyDescent="0.35">
      <c r="B77" s="24"/>
      <c r="C77" s="24"/>
      <c r="D77" s="38"/>
      <c r="E77" s="32"/>
      <c r="F77" s="44"/>
      <c r="G77" s="24"/>
      <c r="H77" s="24"/>
      <c r="I77" s="24"/>
      <c r="J77" s="24"/>
      <c r="K77" s="24"/>
      <c r="L77" s="24"/>
      <c r="M77" s="24"/>
      <c r="N77" s="24"/>
      <c r="O77" s="25"/>
    </row>
    <row r="78" spans="2:15" ht="25.5" customHeight="1" thickTop="1" thickBot="1" x14ac:dyDescent="0.35">
      <c r="B78" s="24"/>
      <c r="C78" s="24"/>
      <c r="D78" s="38"/>
      <c r="E78" s="32"/>
      <c r="F78" s="44"/>
      <c r="G78" s="24"/>
      <c r="H78" s="24"/>
      <c r="I78" s="24"/>
      <c r="J78" s="24"/>
      <c r="K78" s="24"/>
      <c r="L78" s="24"/>
      <c r="M78" s="24"/>
      <c r="N78" s="24"/>
      <c r="O78" s="25"/>
    </row>
    <row r="79" spans="2:15" ht="25.5" customHeight="1" thickTop="1" thickBot="1" x14ac:dyDescent="0.35">
      <c r="B79" s="24"/>
      <c r="C79" s="24"/>
      <c r="D79" s="38"/>
      <c r="E79" s="32"/>
      <c r="F79" s="44"/>
      <c r="G79" s="24"/>
      <c r="H79" s="24"/>
      <c r="I79" s="24"/>
      <c r="J79" s="24"/>
      <c r="K79" s="24"/>
      <c r="L79" s="24"/>
      <c r="M79" s="24"/>
      <c r="N79" s="24"/>
      <c r="O79" s="25"/>
    </row>
    <row r="80" spans="2:15" ht="25.5" customHeight="1" thickTop="1" thickBot="1" x14ac:dyDescent="0.35">
      <c r="B80" s="24"/>
      <c r="C80" s="24"/>
      <c r="D80" s="38"/>
      <c r="E80" s="32"/>
      <c r="F80" s="44"/>
      <c r="G80" s="24"/>
      <c r="H80" s="24"/>
      <c r="I80" s="24"/>
      <c r="J80" s="24"/>
      <c r="K80" s="24"/>
      <c r="L80" s="24"/>
      <c r="M80" s="24"/>
      <c r="N80" s="24"/>
      <c r="O80" s="25"/>
    </row>
    <row r="81" spans="2:15" ht="25.5" customHeight="1" thickTop="1" thickBot="1" x14ac:dyDescent="0.35">
      <c r="B81" s="24"/>
      <c r="C81" s="24"/>
      <c r="D81" s="38"/>
      <c r="E81" s="32"/>
      <c r="F81" s="44"/>
      <c r="G81" s="24"/>
      <c r="H81" s="24"/>
      <c r="I81" s="24"/>
      <c r="J81" s="24"/>
      <c r="K81" s="24"/>
      <c r="L81" s="24"/>
      <c r="M81" s="24"/>
      <c r="N81" s="24"/>
      <c r="O81" s="25"/>
    </row>
    <row r="82" spans="2:15" ht="25.5" customHeight="1" thickTop="1" thickBot="1" x14ac:dyDescent="0.35">
      <c r="B82" s="24"/>
      <c r="C82" s="24"/>
      <c r="D82" s="38"/>
      <c r="E82" s="32"/>
      <c r="F82" s="44"/>
      <c r="G82" s="24"/>
      <c r="H82" s="24"/>
      <c r="I82" s="24"/>
      <c r="J82" s="24"/>
      <c r="K82" s="24"/>
      <c r="L82" s="24"/>
      <c r="M82" s="24"/>
      <c r="N82" s="24"/>
      <c r="O82" s="25"/>
    </row>
    <row r="83" spans="2:15" ht="25.5" customHeight="1" thickTop="1" thickBot="1" x14ac:dyDescent="0.35">
      <c r="B83" s="24"/>
      <c r="C83" s="24"/>
      <c r="D83" s="38"/>
      <c r="E83" s="32"/>
      <c r="F83" s="44"/>
      <c r="G83" s="24"/>
      <c r="H83" s="24"/>
      <c r="I83" s="24"/>
      <c r="J83" s="24"/>
      <c r="K83" s="24"/>
      <c r="L83" s="24"/>
      <c r="M83" s="24"/>
      <c r="N83" s="24"/>
      <c r="O83" s="25"/>
    </row>
    <row r="84" spans="2:15" ht="25.5" customHeight="1" thickTop="1" thickBot="1" x14ac:dyDescent="0.35">
      <c r="B84" s="24"/>
      <c r="C84" s="24"/>
      <c r="D84" s="38"/>
      <c r="E84" s="32"/>
      <c r="F84" s="44"/>
      <c r="G84" s="24"/>
      <c r="H84" s="24"/>
      <c r="I84" s="24"/>
      <c r="J84" s="24"/>
      <c r="K84" s="24"/>
      <c r="L84" s="24"/>
      <c r="M84" s="24"/>
      <c r="N84" s="24"/>
      <c r="O84" s="25"/>
    </row>
    <row r="85" spans="2:15" ht="25.5" customHeight="1" thickTop="1" thickBot="1" x14ac:dyDescent="0.35">
      <c r="B85" s="24"/>
      <c r="C85" s="24"/>
      <c r="D85" s="38"/>
      <c r="E85" s="32"/>
      <c r="F85" s="44"/>
      <c r="G85" s="24"/>
      <c r="H85" s="24"/>
      <c r="I85" s="24"/>
      <c r="J85" s="24"/>
      <c r="K85" s="24"/>
      <c r="L85" s="24"/>
      <c r="M85" s="24"/>
      <c r="N85" s="24"/>
      <c r="O85" s="25"/>
    </row>
    <row r="86" spans="2:15" ht="25.5" customHeight="1" thickTop="1" thickBot="1" x14ac:dyDescent="0.35">
      <c r="B86" s="24"/>
      <c r="C86" s="24"/>
      <c r="D86" s="38"/>
      <c r="E86" s="32"/>
      <c r="F86" s="44"/>
      <c r="G86" s="24"/>
      <c r="H86" s="24"/>
      <c r="I86" s="24"/>
      <c r="J86" s="24"/>
      <c r="K86" s="24"/>
      <c r="L86" s="24"/>
      <c r="M86" s="24"/>
      <c r="N86" s="24"/>
      <c r="O86" s="25"/>
    </row>
    <row r="87" spans="2:15" ht="25.5" customHeight="1" thickTop="1" thickBot="1" x14ac:dyDescent="0.35">
      <c r="B87" s="24"/>
      <c r="C87" s="24"/>
      <c r="D87" s="38"/>
      <c r="E87" s="32"/>
      <c r="F87" s="44"/>
      <c r="G87" s="24"/>
      <c r="H87" s="24"/>
      <c r="I87" s="24"/>
      <c r="J87" s="24"/>
      <c r="K87" s="24"/>
      <c r="L87" s="24"/>
      <c r="M87" s="24"/>
      <c r="N87" s="24"/>
      <c r="O87" s="25"/>
    </row>
    <row r="88" spans="2:15" ht="25.5" customHeight="1" thickTop="1" thickBot="1" x14ac:dyDescent="0.35">
      <c r="B88" s="24"/>
      <c r="C88" s="24"/>
      <c r="D88" s="38"/>
      <c r="E88" s="32"/>
      <c r="F88" s="44"/>
      <c r="G88" s="24"/>
      <c r="H88" s="24"/>
      <c r="I88" s="24"/>
      <c r="J88" s="24"/>
      <c r="K88" s="24"/>
      <c r="L88" s="24"/>
      <c r="M88" s="24"/>
      <c r="N88" s="24"/>
      <c r="O88" s="25"/>
    </row>
    <row r="89" spans="2:15" ht="25.5" customHeight="1" thickTop="1" thickBot="1" x14ac:dyDescent="0.35">
      <c r="B89" s="24"/>
      <c r="C89" s="24"/>
      <c r="D89" s="38"/>
      <c r="E89" s="32"/>
      <c r="F89" s="44"/>
      <c r="G89" s="24"/>
      <c r="H89" s="24"/>
      <c r="I89" s="24"/>
      <c r="J89" s="24"/>
      <c r="K89" s="24"/>
      <c r="L89" s="24"/>
      <c r="M89" s="24"/>
      <c r="N89" s="24"/>
      <c r="O89" s="25"/>
    </row>
    <row r="90" spans="2:15" ht="25.5" customHeight="1" thickTop="1" thickBot="1" x14ac:dyDescent="0.35">
      <c r="B90" s="24"/>
      <c r="C90" s="24"/>
      <c r="D90" s="38"/>
      <c r="E90" s="32"/>
      <c r="F90" s="44"/>
      <c r="G90" s="24"/>
      <c r="H90" s="24"/>
      <c r="I90" s="24"/>
      <c r="J90" s="24"/>
      <c r="K90" s="24"/>
      <c r="L90" s="24"/>
      <c r="M90" s="24"/>
      <c r="N90" s="24"/>
      <c r="O90" s="25"/>
    </row>
    <row r="91" spans="2:15" ht="25.5" customHeight="1" thickTop="1" thickBot="1" x14ac:dyDescent="0.35">
      <c r="B91" s="24"/>
      <c r="C91" s="24"/>
      <c r="D91" s="38"/>
      <c r="E91" s="32"/>
      <c r="F91" s="44"/>
      <c r="G91" s="24"/>
      <c r="H91" s="24"/>
      <c r="I91" s="24"/>
      <c r="J91" s="24"/>
      <c r="K91" s="24"/>
      <c r="L91" s="24"/>
      <c r="M91" s="24"/>
      <c r="N91" s="24"/>
      <c r="O91" s="25"/>
    </row>
    <row r="92" spans="2:15" ht="25.5" customHeight="1" thickTop="1" thickBot="1" x14ac:dyDescent="0.35">
      <c r="B92" s="24"/>
      <c r="C92" s="24"/>
      <c r="D92" s="38"/>
      <c r="E92" s="32"/>
      <c r="F92" s="44"/>
      <c r="G92" s="24"/>
      <c r="H92" s="24"/>
      <c r="I92" s="24"/>
      <c r="J92" s="24"/>
      <c r="K92" s="24"/>
      <c r="L92" s="24"/>
      <c r="M92" s="24"/>
      <c r="N92" s="24"/>
      <c r="O92" s="25"/>
    </row>
    <row r="93" spans="2:15" ht="25.5" customHeight="1" thickTop="1" thickBot="1" x14ac:dyDescent="0.35">
      <c r="B93" s="24"/>
      <c r="C93" s="24"/>
      <c r="D93" s="38"/>
      <c r="E93" s="32"/>
      <c r="F93" s="44"/>
      <c r="G93" s="24"/>
      <c r="H93" s="24"/>
      <c r="I93" s="24"/>
      <c r="J93" s="24"/>
      <c r="K93" s="24"/>
      <c r="L93" s="24"/>
      <c r="M93" s="24"/>
      <c r="N93" s="24"/>
      <c r="O93" s="25"/>
    </row>
    <row r="94" spans="2:15" ht="25.5" customHeight="1" thickTop="1" thickBot="1" x14ac:dyDescent="0.35">
      <c r="B94" s="24"/>
      <c r="C94" s="24"/>
      <c r="D94" s="38"/>
      <c r="E94" s="32"/>
      <c r="F94" s="44"/>
      <c r="G94" s="24"/>
      <c r="H94" s="24"/>
      <c r="I94" s="24"/>
      <c r="J94" s="24"/>
      <c r="K94" s="24"/>
      <c r="L94" s="24"/>
      <c r="M94" s="24"/>
      <c r="N94" s="24"/>
      <c r="O94" s="25"/>
    </row>
    <row r="95" spans="2:15" ht="25.5" customHeight="1" thickTop="1" thickBot="1" x14ac:dyDescent="0.35">
      <c r="B95" s="24"/>
      <c r="C95" s="24"/>
      <c r="D95" s="38"/>
      <c r="E95" s="32"/>
      <c r="F95" s="44"/>
      <c r="G95" s="24"/>
      <c r="H95" s="24"/>
      <c r="I95" s="24"/>
      <c r="J95" s="24"/>
      <c r="K95" s="24"/>
      <c r="L95" s="24"/>
      <c r="M95" s="24"/>
      <c r="N95" s="24"/>
      <c r="O95" s="25"/>
    </row>
    <row r="96" spans="2:15" ht="25.5" customHeight="1" thickTop="1" thickBot="1" x14ac:dyDescent="0.35">
      <c r="B96" s="24"/>
      <c r="C96" s="24"/>
      <c r="D96" s="38"/>
      <c r="E96" s="32"/>
      <c r="F96" s="44"/>
      <c r="G96" s="24"/>
      <c r="H96" s="24"/>
      <c r="I96" s="24"/>
      <c r="J96" s="24"/>
      <c r="K96" s="24"/>
      <c r="L96" s="24"/>
      <c r="M96" s="24"/>
      <c r="N96" s="24"/>
      <c r="O96" s="25"/>
    </row>
    <row r="97" spans="2:15" ht="25.5" customHeight="1" thickTop="1" thickBot="1" x14ac:dyDescent="0.35">
      <c r="B97" s="24"/>
      <c r="C97" s="24"/>
      <c r="D97" s="38"/>
      <c r="E97" s="32"/>
      <c r="F97" s="44"/>
      <c r="G97" s="24"/>
      <c r="H97" s="24"/>
      <c r="I97" s="24"/>
      <c r="J97" s="24"/>
      <c r="K97" s="24"/>
      <c r="L97" s="24"/>
      <c r="M97" s="24"/>
      <c r="N97" s="24"/>
      <c r="O97" s="25"/>
    </row>
    <row r="98" spans="2:15" ht="25.5" customHeight="1" thickTop="1" thickBot="1" x14ac:dyDescent="0.35">
      <c r="B98" s="24"/>
      <c r="C98" s="24"/>
      <c r="D98" s="38"/>
      <c r="E98" s="32"/>
      <c r="F98" s="44"/>
      <c r="G98" s="24"/>
      <c r="H98" s="24"/>
      <c r="I98" s="24"/>
      <c r="J98" s="24"/>
      <c r="K98" s="24"/>
      <c r="L98" s="24"/>
      <c r="M98" s="24"/>
      <c r="N98" s="24"/>
      <c r="O98" s="25"/>
    </row>
    <row r="99" spans="2:15" ht="25.5" customHeight="1" thickTop="1" thickBot="1" x14ac:dyDescent="0.35">
      <c r="B99" s="24"/>
      <c r="C99" s="24"/>
      <c r="D99" s="38"/>
      <c r="E99" s="32"/>
      <c r="F99" s="44"/>
      <c r="G99" s="24"/>
      <c r="H99" s="24"/>
      <c r="I99" s="24"/>
      <c r="J99" s="24"/>
      <c r="K99" s="24"/>
      <c r="L99" s="24"/>
      <c r="M99" s="24"/>
      <c r="N99" s="24"/>
      <c r="O99" s="25"/>
    </row>
    <row r="100" spans="2:15" ht="25.5" customHeight="1" thickTop="1" thickBot="1" x14ac:dyDescent="0.35">
      <c r="B100" s="24"/>
      <c r="C100" s="24"/>
      <c r="D100" s="38"/>
      <c r="E100" s="32"/>
      <c r="F100" s="44"/>
      <c r="G100" s="24"/>
      <c r="H100" s="24"/>
      <c r="I100" s="24"/>
      <c r="J100" s="24"/>
      <c r="K100" s="24"/>
      <c r="L100" s="24"/>
      <c r="M100" s="24"/>
      <c r="N100" s="24"/>
      <c r="O100" s="25"/>
    </row>
    <row r="101" spans="2:15" ht="25.5" customHeight="1" thickTop="1" thickBot="1" x14ac:dyDescent="0.35">
      <c r="B101" s="24"/>
      <c r="C101" s="24"/>
      <c r="D101" s="38"/>
      <c r="E101" s="32"/>
      <c r="F101" s="44"/>
      <c r="G101" s="24"/>
      <c r="H101" s="24"/>
      <c r="I101" s="24"/>
      <c r="J101" s="24"/>
      <c r="K101" s="24"/>
      <c r="L101" s="24"/>
      <c r="M101" s="24"/>
      <c r="N101" s="24"/>
      <c r="O101" s="25"/>
    </row>
    <row r="102" spans="2:15" ht="25.5" customHeight="1" thickTop="1" thickBot="1" x14ac:dyDescent="0.35">
      <c r="B102" s="24"/>
      <c r="C102" s="24"/>
      <c r="D102" s="38"/>
      <c r="E102" s="32"/>
      <c r="F102" s="44"/>
      <c r="G102" s="24"/>
      <c r="H102" s="24"/>
      <c r="I102" s="24"/>
      <c r="J102" s="24"/>
      <c r="K102" s="24"/>
      <c r="L102" s="24"/>
      <c r="M102" s="24"/>
      <c r="N102" s="24"/>
      <c r="O102" s="25"/>
    </row>
    <row r="103" spans="2:15" ht="25.5" customHeight="1" thickTop="1" thickBot="1" x14ac:dyDescent="0.35">
      <c r="B103" s="24"/>
      <c r="C103" s="24"/>
      <c r="D103" s="38"/>
      <c r="E103" s="32"/>
      <c r="F103" s="44"/>
      <c r="G103" s="24"/>
      <c r="H103" s="24"/>
      <c r="I103" s="24"/>
      <c r="J103" s="24"/>
      <c r="K103" s="24"/>
      <c r="L103" s="24"/>
      <c r="M103" s="24"/>
      <c r="N103" s="24"/>
      <c r="O103" s="25"/>
    </row>
    <row r="104" spans="2:15" ht="25.5" customHeight="1" thickTop="1" thickBot="1" x14ac:dyDescent="0.35">
      <c r="B104" s="24"/>
      <c r="C104" s="24"/>
      <c r="D104" s="38"/>
      <c r="E104" s="32"/>
      <c r="F104" s="44"/>
      <c r="G104" s="24"/>
      <c r="H104" s="24"/>
      <c r="I104" s="24"/>
      <c r="J104" s="24"/>
      <c r="K104" s="24"/>
      <c r="L104" s="24"/>
      <c r="M104" s="24"/>
      <c r="N104" s="24"/>
      <c r="O104" s="25"/>
    </row>
    <row r="105" spans="2:15" ht="25.5" customHeight="1" thickTop="1" thickBot="1" x14ac:dyDescent="0.35">
      <c r="B105" s="28"/>
      <c r="C105" s="28"/>
      <c r="D105" s="40"/>
      <c r="E105" s="34"/>
      <c r="F105" s="46"/>
      <c r="G105" s="28"/>
      <c r="H105" s="28"/>
      <c r="I105" s="28"/>
      <c r="J105" s="28"/>
      <c r="K105" s="28"/>
      <c r="L105" s="28"/>
      <c r="M105" s="28"/>
      <c r="N105" s="28"/>
      <c r="O105" s="29"/>
    </row>
    <row r="106" spans="2:15" ht="25.5" customHeight="1" thickTop="1" thickBot="1" x14ac:dyDescent="0.35">
      <c r="B106" s="24"/>
      <c r="C106" s="24"/>
      <c r="D106" s="38"/>
      <c r="E106" s="32"/>
      <c r="F106" s="44"/>
      <c r="G106" s="24"/>
      <c r="H106" s="24"/>
      <c r="I106" s="24"/>
      <c r="J106" s="24"/>
      <c r="K106" s="24"/>
      <c r="L106" s="24"/>
      <c r="M106" s="24"/>
      <c r="N106" s="24"/>
      <c r="O106" s="124"/>
    </row>
    <row r="107" spans="2:15" ht="25.5" customHeight="1" thickTop="1" thickBot="1" x14ac:dyDescent="0.35">
      <c r="B107" s="24"/>
      <c r="C107" s="24"/>
      <c r="D107" s="38"/>
      <c r="E107" s="32"/>
      <c r="F107" s="44"/>
      <c r="G107" s="24"/>
      <c r="H107" s="24"/>
      <c r="I107" s="24"/>
      <c r="J107" s="24"/>
      <c r="K107" s="24"/>
      <c r="L107" s="24"/>
      <c r="M107" s="24"/>
      <c r="N107" s="24"/>
      <c r="O107" s="124"/>
    </row>
    <row r="108" spans="2:15" ht="25.5" customHeight="1" thickTop="1" thickBot="1" x14ac:dyDescent="0.35">
      <c r="B108" s="24"/>
      <c r="C108" s="24"/>
      <c r="D108" s="38"/>
      <c r="E108" s="32"/>
      <c r="F108" s="44"/>
      <c r="G108" s="24"/>
      <c r="H108" s="24"/>
      <c r="I108" s="24"/>
      <c r="J108" s="24"/>
      <c r="K108" s="24"/>
      <c r="L108" s="24"/>
      <c r="M108" s="24"/>
      <c r="N108" s="24"/>
      <c r="O108" s="124"/>
    </row>
    <row r="109" spans="2:15" ht="25.5" customHeight="1" thickTop="1" thickBot="1" x14ac:dyDescent="0.35">
      <c r="B109" s="24"/>
      <c r="C109" s="24"/>
      <c r="D109" s="38"/>
      <c r="E109" s="32"/>
      <c r="F109" s="44"/>
      <c r="G109" s="24"/>
      <c r="H109" s="24"/>
      <c r="I109" s="24"/>
      <c r="J109" s="24"/>
      <c r="K109" s="24"/>
      <c r="L109" s="24"/>
      <c r="M109" s="24"/>
      <c r="N109" s="24"/>
      <c r="O109" s="124"/>
    </row>
    <row r="110" spans="2:15" ht="25.5" customHeight="1" thickTop="1" thickBot="1" x14ac:dyDescent="0.35">
      <c r="B110" s="24"/>
      <c r="C110" s="24"/>
      <c r="D110" s="38"/>
      <c r="E110" s="32"/>
      <c r="F110" s="44"/>
      <c r="G110" s="24"/>
      <c r="H110" s="24"/>
      <c r="I110" s="24"/>
      <c r="J110" s="24"/>
      <c r="K110" s="24"/>
      <c r="L110" s="24"/>
      <c r="M110" s="24"/>
      <c r="N110" s="24"/>
      <c r="O110" s="124"/>
    </row>
    <row r="111" spans="2:15" ht="25.5" customHeight="1" thickTop="1" thickBot="1" x14ac:dyDescent="0.35">
      <c r="B111" s="24"/>
      <c r="C111" s="24"/>
      <c r="D111" s="38"/>
      <c r="E111" s="32"/>
      <c r="F111" s="44"/>
      <c r="G111" s="24"/>
      <c r="H111" s="24"/>
      <c r="I111" s="24"/>
      <c r="J111" s="24"/>
      <c r="K111" s="24"/>
      <c r="L111" s="24"/>
      <c r="M111" s="24"/>
      <c r="N111" s="24"/>
      <c r="O111" s="124"/>
    </row>
    <row r="112" spans="2:15" ht="25.5" customHeight="1" thickTop="1" thickBot="1" x14ac:dyDescent="0.35">
      <c r="B112" s="24"/>
      <c r="C112" s="24"/>
      <c r="D112" s="38"/>
      <c r="E112" s="32"/>
      <c r="F112" s="44"/>
      <c r="G112" s="24"/>
      <c r="H112" s="24"/>
      <c r="I112" s="24"/>
      <c r="J112" s="24"/>
      <c r="K112" s="24"/>
      <c r="L112" s="24"/>
      <c r="M112" s="24"/>
      <c r="N112" s="24"/>
      <c r="O112" s="124"/>
    </row>
    <row r="113" spans="2:15" ht="25.5" customHeight="1" thickTop="1" thickBot="1" x14ac:dyDescent="0.35">
      <c r="B113" s="24"/>
      <c r="C113" s="24"/>
      <c r="D113" s="38"/>
      <c r="E113" s="32"/>
      <c r="F113" s="44"/>
      <c r="G113" s="24"/>
      <c r="H113" s="24"/>
      <c r="I113" s="24"/>
      <c r="J113" s="24"/>
      <c r="K113" s="24"/>
      <c r="L113" s="24"/>
      <c r="M113" s="24"/>
      <c r="N113" s="24"/>
      <c r="O113" s="124"/>
    </row>
    <row r="114" spans="2:15" ht="25.5" customHeight="1" thickTop="1" thickBot="1" x14ac:dyDescent="0.35">
      <c r="B114" s="24"/>
      <c r="C114" s="24"/>
      <c r="D114" s="38"/>
      <c r="E114" s="32"/>
      <c r="F114" s="44"/>
      <c r="G114" s="24"/>
      <c r="H114" s="24"/>
      <c r="I114" s="24"/>
      <c r="J114" s="24"/>
      <c r="K114" s="24"/>
      <c r="L114" s="24"/>
      <c r="M114" s="24"/>
      <c r="N114" s="24"/>
      <c r="O114" s="124"/>
    </row>
    <row r="115" spans="2:15" ht="25.5" customHeight="1" thickTop="1" thickBot="1" x14ac:dyDescent="0.35">
      <c r="B115" s="24"/>
      <c r="C115" s="24"/>
      <c r="D115" s="38"/>
      <c r="E115" s="32"/>
      <c r="F115" s="44"/>
      <c r="G115" s="24"/>
      <c r="H115" s="24"/>
      <c r="I115" s="24"/>
      <c r="J115" s="24"/>
      <c r="K115" s="24"/>
      <c r="L115" s="24"/>
      <c r="M115" s="24"/>
      <c r="N115" s="24"/>
      <c r="O115" s="124"/>
    </row>
    <row r="116" spans="2:15" ht="25.5" customHeight="1" thickTop="1" thickBot="1" x14ac:dyDescent="0.35">
      <c r="B116" s="24"/>
      <c r="C116" s="24"/>
      <c r="D116" s="38"/>
      <c r="E116" s="32"/>
      <c r="F116" s="44"/>
      <c r="G116" s="24"/>
      <c r="H116" s="24"/>
      <c r="I116" s="24"/>
      <c r="J116" s="24"/>
      <c r="K116" s="24"/>
      <c r="L116" s="24"/>
      <c r="M116" s="24"/>
      <c r="N116" s="24"/>
      <c r="O116" s="124"/>
    </row>
    <row r="117" spans="2:15" ht="25.5" customHeight="1" thickTop="1" thickBot="1" x14ac:dyDescent="0.35">
      <c r="B117" s="24"/>
      <c r="C117" s="24"/>
      <c r="D117" s="38"/>
      <c r="E117" s="32"/>
      <c r="F117" s="44"/>
      <c r="G117" s="24"/>
      <c r="H117" s="24"/>
      <c r="I117" s="24"/>
      <c r="J117" s="24"/>
      <c r="K117" s="24"/>
      <c r="L117" s="24"/>
      <c r="M117" s="24"/>
      <c r="N117" s="24"/>
      <c r="O117" s="124"/>
    </row>
    <row r="118" spans="2:15" ht="25.5" customHeight="1" thickTop="1" thickBot="1" x14ac:dyDescent="0.35">
      <c r="B118" s="24"/>
      <c r="C118" s="24"/>
      <c r="D118" s="38"/>
      <c r="E118" s="32"/>
      <c r="F118" s="44"/>
      <c r="G118" s="24"/>
      <c r="H118" s="24"/>
      <c r="I118" s="24"/>
      <c r="J118" s="24"/>
      <c r="K118" s="24"/>
      <c r="L118" s="24"/>
      <c r="M118" s="24"/>
      <c r="N118" s="24"/>
      <c r="O118" s="124"/>
    </row>
    <row r="119" spans="2:15" ht="25.5" customHeight="1" thickTop="1" thickBot="1" x14ac:dyDescent="0.35">
      <c r="B119" s="24"/>
      <c r="C119" s="24"/>
      <c r="D119" s="38"/>
      <c r="E119" s="32"/>
      <c r="F119" s="44"/>
      <c r="G119" s="24"/>
      <c r="H119" s="24"/>
      <c r="I119" s="24"/>
      <c r="J119" s="24"/>
      <c r="K119" s="24"/>
      <c r="L119" s="24"/>
      <c r="M119" s="24"/>
      <c r="N119" s="24"/>
      <c r="O119" s="124"/>
    </row>
    <row r="120" spans="2:15" ht="25.5" customHeight="1" thickTop="1" thickBot="1" x14ac:dyDescent="0.35">
      <c r="B120" s="24"/>
      <c r="C120" s="24"/>
      <c r="D120" s="38"/>
      <c r="E120" s="32"/>
      <c r="F120" s="44"/>
      <c r="G120" s="24"/>
      <c r="H120" s="24"/>
      <c r="I120" s="24"/>
      <c r="J120" s="24"/>
      <c r="K120" s="24"/>
      <c r="L120" s="24"/>
      <c r="M120" s="24"/>
      <c r="N120" s="24"/>
      <c r="O120" s="124"/>
    </row>
    <row r="121" spans="2:15" ht="25.5" customHeight="1" thickTop="1" thickBot="1" x14ac:dyDescent="0.35">
      <c r="B121" s="24"/>
      <c r="C121" s="24"/>
      <c r="D121" s="38"/>
      <c r="E121" s="32"/>
      <c r="F121" s="44"/>
      <c r="G121" s="24"/>
      <c r="H121" s="24"/>
      <c r="I121" s="24"/>
      <c r="J121" s="24"/>
      <c r="K121" s="24"/>
      <c r="L121" s="24"/>
      <c r="M121" s="24"/>
      <c r="N121" s="24"/>
      <c r="O121" s="124"/>
    </row>
    <row r="122" spans="2:15" ht="25.5" customHeight="1" thickTop="1" thickBot="1" x14ac:dyDescent="0.35">
      <c r="B122" s="24"/>
      <c r="C122" s="24"/>
      <c r="D122" s="38"/>
      <c r="E122" s="32"/>
      <c r="F122" s="44"/>
      <c r="G122" s="24"/>
      <c r="H122" s="24"/>
      <c r="I122" s="24"/>
      <c r="J122" s="24"/>
      <c r="K122" s="24"/>
      <c r="L122" s="24"/>
      <c r="M122" s="24"/>
      <c r="N122" s="24"/>
      <c r="O122" s="124"/>
    </row>
    <row r="123" spans="2:15" ht="25.5" customHeight="1" thickTop="1" thickBot="1" x14ac:dyDescent="0.35">
      <c r="B123" s="24"/>
      <c r="C123" s="24"/>
      <c r="D123" s="38"/>
      <c r="E123" s="32"/>
      <c r="F123" s="44"/>
      <c r="G123" s="24"/>
      <c r="H123" s="24"/>
      <c r="I123" s="24"/>
      <c r="J123" s="24"/>
      <c r="K123" s="24"/>
      <c r="L123" s="24"/>
      <c r="M123" s="24"/>
      <c r="N123" s="24"/>
      <c r="O123" s="124"/>
    </row>
    <row r="124" spans="2:15" ht="25.5" customHeight="1" thickTop="1" thickBot="1" x14ac:dyDescent="0.35">
      <c r="B124" s="24"/>
      <c r="C124" s="24"/>
      <c r="D124" s="38"/>
      <c r="E124" s="32"/>
      <c r="F124" s="44"/>
      <c r="G124" s="24"/>
      <c r="H124" s="24"/>
      <c r="I124" s="24"/>
      <c r="J124" s="24"/>
      <c r="K124" s="24"/>
      <c r="L124" s="24"/>
      <c r="M124" s="24"/>
      <c r="N124" s="24"/>
      <c r="O124" s="124"/>
    </row>
    <row r="125" spans="2:15" ht="25.5" customHeight="1" thickTop="1" thickBot="1" x14ac:dyDescent="0.35">
      <c r="B125" s="24"/>
      <c r="C125" s="24"/>
      <c r="D125" s="38"/>
      <c r="E125" s="32"/>
      <c r="F125" s="44"/>
      <c r="G125" s="24"/>
      <c r="H125" s="24"/>
      <c r="I125" s="24"/>
      <c r="J125" s="24"/>
      <c r="K125" s="24"/>
      <c r="L125" s="24"/>
      <c r="M125" s="24"/>
      <c r="N125" s="24"/>
      <c r="O125" s="124"/>
    </row>
    <row r="126" spans="2:15" ht="25.5" customHeight="1" thickTop="1" thickBot="1" x14ac:dyDescent="0.35">
      <c r="B126" s="24"/>
      <c r="C126" s="24"/>
      <c r="D126" s="38"/>
      <c r="E126" s="32"/>
      <c r="F126" s="44"/>
      <c r="G126" s="24"/>
      <c r="H126" s="24"/>
      <c r="I126" s="24"/>
      <c r="J126" s="24"/>
      <c r="K126" s="24"/>
      <c r="L126" s="24"/>
      <c r="M126" s="24"/>
      <c r="N126" s="24"/>
      <c r="O126" s="124"/>
    </row>
    <row r="127" spans="2:15" ht="25.5" customHeight="1" thickTop="1" thickBot="1" x14ac:dyDescent="0.35">
      <c r="B127" s="24"/>
      <c r="C127" s="24"/>
      <c r="D127" s="38"/>
      <c r="E127" s="32"/>
      <c r="F127" s="44"/>
      <c r="G127" s="24"/>
      <c r="H127" s="24"/>
      <c r="I127" s="24"/>
      <c r="J127" s="24"/>
      <c r="K127" s="24"/>
      <c r="L127" s="24"/>
      <c r="M127" s="24"/>
      <c r="N127" s="24"/>
      <c r="O127" s="124"/>
    </row>
    <row r="128" spans="2:15" ht="25.5" customHeight="1" thickTop="1" thickBot="1" x14ac:dyDescent="0.35">
      <c r="B128" s="24"/>
      <c r="C128" s="24"/>
      <c r="D128" s="38"/>
      <c r="E128" s="32"/>
      <c r="F128" s="44"/>
      <c r="G128" s="24"/>
      <c r="H128" s="24"/>
      <c r="I128" s="24"/>
      <c r="J128" s="24"/>
      <c r="K128" s="24"/>
      <c r="L128" s="24"/>
      <c r="M128" s="24"/>
      <c r="N128" s="24"/>
      <c r="O128" s="124"/>
    </row>
    <row r="129" spans="2:15" ht="25.5" customHeight="1" thickTop="1" thickBot="1" x14ac:dyDescent="0.35">
      <c r="B129" s="24"/>
      <c r="C129" s="24"/>
      <c r="D129" s="38"/>
      <c r="E129" s="32"/>
      <c r="F129" s="44"/>
      <c r="G129" s="24"/>
      <c r="H129" s="24"/>
      <c r="I129" s="24"/>
      <c r="J129" s="24"/>
      <c r="K129" s="24"/>
      <c r="L129" s="24"/>
      <c r="M129" s="24"/>
      <c r="N129" s="24"/>
      <c r="O129" s="124"/>
    </row>
    <row r="130" spans="2:15" ht="25.5" customHeight="1" thickTop="1" thickBot="1" x14ac:dyDescent="0.35">
      <c r="B130" s="24"/>
      <c r="C130" s="24"/>
      <c r="D130" s="38"/>
      <c r="E130" s="32"/>
      <c r="F130" s="44"/>
      <c r="G130" s="24"/>
      <c r="H130" s="24"/>
      <c r="I130" s="24"/>
      <c r="J130" s="24"/>
      <c r="K130" s="24"/>
      <c r="L130" s="24"/>
      <c r="M130" s="24"/>
      <c r="N130" s="24"/>
      <c r="O130" s="124"/>
    </row>
    <row r="131" spans="2:15" ht="25.5" customHeight="1" thickTop="1" thickBot="1" x14ac:dyDescent="0.35">
      <c r="B131" s="24"/>
      <c r="C131" s="24"/>
      <c r="D131" s="38"/>
      <c r="E131" s="32"/>
      <c r="F131" s="44"/>
      <c r="G131" s="24"/>
      <c r="H131" s="24"/>
      <c r="I131" s="24"/>
      <c r="J131" s="24"/>
      <c r="K131" s="24"/>
      <c r="L131" s="24"/>
      <c r="M131" s="24"/>
      <c r="N131" s="24"/>
      <c r="O131" s="124"/>
    </row>
    <row r="132" spans="2:15" ht="25.5" customHeight="1" thickTop="1" thickBot="1" x14ac:dyDescent="0.35">
      <c r="B132" s="24"/>
      <c r="C132" s="24"/>
      <c r="D132" s="38"/>
      <c r="E132" s="32"/>
      <c r="F132" s="44"/>
      <c r="G132" s="24"/>
      <c r="H132" s="24"/>
      <c r="I132" s="24"/>
      <c r="J132" s="24"/>
      <c r="K132" s="24"/>
      <c r="L132" s="24"/>
      <c r="M132" s="24"/>
      <c r="N132" s="24"/>
      <c r="O132" s="124"/>
    </row>
    <row r="133" spans="2:15" ht="25.5" customHeight="1" thickTop="1" thickBot="1" x14ac:dyDescent="0.35">
      <c r="B133" s="24"/>
      <c r="C133" s="24"/>
      <c r="D133" s="38"/>
      <c r="E133" s="32"/>
      <c r="F133" s="44"/>
      <c r="G133" s="24"/>
      <c r="H133" s="24"/>
      <c r="I133" s="24"/>
      <c r="J133" s="24"/>
      <c r="K133" s="24"/>
      <c r="L133" s="24"/>
      <c r="M133" s="24"/>
      <c r="N133" s="24"/>
      <c r="O133" s="124"/>
    </row>
    <row r="134" spans="2:15" ht="25.5" customHeight="1" thickTop="1" thickBot="1" x14ac:dyDescent="0.35">
      <c r="B134" s="24"/>
      <c r="C134" s="24"/>
      <c r="D134" s="38"/>
      <c r="E134" s="32"/>
      <c r="F134" s="44"/>
      <c r="G134" s="24"/>
      <c r="H134" s="24"/>
      <c r="I134" s="24"/>
      <c r="J134" s="24"/>
      <c r="K134" s="24"/>
      <c r="L134" s="24"/>
      <c r="M134" s="24"/>
      <c r="N134" s="24"/>
      <c r="O134" s="124"/>
    </row>
    <row r="135" spans="2:15" ht="25.5" customHeight="1" thickTop="1" thickBot="1" x14ac:dyDescent="0.35">
      <c r="B135" s="24"/>
      <c r="C135" s="24"/>
      <c r="D135" s="38"/>
      <c r="E135" s="32"/>
      <c r="F135" s="44"/>
      <c r="G135" s="24"/>
      <c r="H135" s="24"/>
      <c r="I135" s="24"/>
      <c r="J135" s="24"/>
      <c r="K135" s="24"/>
      <c r="L135" s="24"/>
      <c r="M135" s="24"/>
      <c r="N135" s="24"/>
      <c r="O135" s="124"/>
    </row>
    <row r="136" spans="2:15" ht="25.5" customHeight="1" thickTop="1" thickBot="1" x14ac:dyDescent="0.35">
      <c r="B136" s="24"/>
      <c r="C136" s="24"/>
      <c r="D136" s="38"/>
      <c r="E136" s="32"/>
      <c r="F136" s="44"/>
      <c r="G136" s="24"/>
      <c r="H136" s="24"/>
      <c r="I136" s="24"/>
      <c r="J136" s="24"/>
      <c r="K136" s="24"/>
      <c r="L136" s="24"/>
      <c r="M136" s="24"/>
      <c r="N136" s="24"/>
      <c r="O136" s="124"/>
    </row>
    <row r="137" spans="2:15" ht="25.5" customHeight="1" thickTop="1" thickBot="1" x14ac:dyDescent="0.35">
      <c r="B137" s="24"/>
      <c r="C137" s="24"/>
      <c r="D137" s="38"/>
      <c r="E137" s="32"/>
      <c r="F137" s="44"/>
      <c r="G137" s="24"/>
      <c r="H137" s="24"/>
      <c r="I137" s="24"/>
      <c r="J137" s="24"/>
      <c r="K137" s="24"/>
      <c r="L137" s="24"/>
      <c r="M137" s="24"/>
      <c r="N137" s="24"/>
      <c r="O137" s="124"/>
    </row>
    <row r="138" spans="2:15" ht="25.5" customHeight="1" thickTop="1" thickBot="1" x14ac:dyDescent="0.35">
      <c r="B138" s="24"/>
      <c r="C138" s="24"/>
      <c r="D138" s="38"/>
      <c r="E138" s="32"/>
      <c r="F138" s="44"/>
      <c r="G138" s="24"/>
      <c r="H138" s="24"/>
      <c r="I138" s="24"/>
      <c r="J138" s="24"/>
      <c r="K138" s="24"/>
      <c r="L138" s="24"/>
      <c r="M138" s="24"/>
      <c r="N138" s="24"/>
      <c r="O138" s="124"/>
    </row>
    <row r="139" spans="2:15" ht="25.5" customHeight="1" thickTop="1" thickBot="1" x14ac:dyDescent="0.35">
      <c r="B139" s="24"/>
      <c r="C139" s="24"/>
      <c r="D139" s="38"/>
      <c r="E139" s="32"/>
      <c r="F139" s="44"/>
      <c r="G139" s="24"/>
      <c r="H139" s="24"/>
      <c r="I139" s="24"/>
      <c r="J139" s="24"/>
      <c r="K139" s="24"/>
      <c r="L139" s="24"/>
      <c r="M139" s="24"/>
      <c r="N139" s="24"/>
      <c r="O139" s="124"/>
    </row>
    <row r="140" spans="2:15" ht="25.5" customHeight="1" thickTop="1" thickBot="1" x14ac:dyDescent="0.35">
      <c r="B140" s="24"/>
      <c r="C140" s="24"/>
      <c r="D140" s="38"/>
      <c r="E140" s="32"/>
      <c r="F140" s="44"/>
      <c r="G140" s="24"/>
      <c r="H140" s="24"/>
      <c r="I140" s="24"/>
      <c r="J140" s="24"/>
      <c r="K140" s="24"/>
      <c r="L140" s="24"/>
      <c r="M140" s="24"/>
      <c r="N140" s="24"/>
      <c r="O140" s="124"/>
    </row>
    <row r="141" spans="2:15" ht="25.5" customHeight="1" thickTop="1" thickBot="1" x14ac:dyDescent="0.35">
      <c r="B141" s="24"/>
      <c r="C141" s="24"/>
      <c r="D141" s="38"/>
      <c r="E141" s="32"/>
      <c r="F141" s="44"/>
      <c r="G141" s="24"/>
      <c r="H141" s="24"/>
      <c r="I141" s="24"/>
      <c r="J141" s="24"/>
      <c r="K141" s="24"/>
      <c r="L141" s="24"/>
      <c r="M141" s="24"/>
      <c r="N141" s="24"/>
      <c r="O141" s="124"/>
    </row>
    <row r="142" spans="2:15" ht="25.5" customHeight="1" thickTop="1" thickBot="1" x14ac:dyDescent="0.35">
      <c r="B142" s="24"/>
      <c r="C142" s="24"/>
      <c r="D142" s="38"/>
      <c r="E142" s="32"/>
      <c r="F142" s="44"/>
      <c r="G142" s="24"/>
      <c r="H142" s="24"/>
      <c r="I142" s="24"/>
      <c r="J142" s="24"/>
      <c r="K142" s="24"/>
      <c r="L142" s="24"/>
      <c r="M142" s="24"/>
      <c r="N142" s="24"/>
      <c r="O142" s="124"/>
    </row>
    <row r="143" spans="2:15" ht="25.5" customHeight="1" thickTop="1" thickBot="1" x14ac:dyDescent="0.35">
      <c r="B143" s="24"/>
      <c r="C143" s="24"/>
      <c r="D143" s="38"/>
      <c r="E143" s="32"/>
      <c r="F143" s="44"/>
      <c r="G143" s="24"/>
      <c r="H143" s="24"/>
      <c r="I143" s="24"/>
      <c r="J143" s="24"/>
      <c r="K143" s="24"/>
      <c r="L143" s="24"/>
      <c r="M143" s="24"/>
      <c r="N143" s="24"/>
      <c r="O143" s="124"/>
    </row>
    <row r="144" spans="2:15" ht="25.5" customHeight="1" thickTop="1" thickBot="1" x14ac:dyDescent="0.35">
      <c r="B144" s="24"/>
      <c r="C144" s="24"/>
      <c r="D144" s="38"/>
      <c r="E144" s="32"/>
      <c r="F144" s="44"/>
      <c r="G144" s="24"/>
      <c r="H144" s="24"/>
      <c r="I144" s="24"/>
      <c r="J144" s="24"/>
      <c r="K144" s="24"/>
      <c r="L144" s="24"/>
      <c r="M144" s="24"/>
      <c r="N144" s="24"/>
      <c r="O144" s="124"/>
    </row>
    <row r="145" spans="2:15" ht="25.5" customHeight="1" thickTop="1" thickBot="1" x14ac:dyDescent="0.35">
      <c r="B145" s="24"/>
      <c r="C145" s="24"/>
      <c r="D145" s="38"/>
      <c r="E145" s="32"/>
      <c r="F145" s="44"/>
      <c r="G145" s="24"/>
      <c r="H145" s="24"/>
      <c r="I145" s="24"/>
      <c r="J145" s="24"/>
      <c r="K145" s="24"/>
      <c r="L145" s="24"/>
      <c r="M145" s="24"/>
      <c r="N145" s="24"/>
      <c r="O145" s="124"/>
    </row>
    <row r="146" spans="2:15" ht="25.5" customHeight="1" thickTop="1" thickBot="1" x14ac:dyDescent="0.35">
      <c r="B146" s="24"/>
      <c r="C146" s="24"/>
      <c r="D146" s="38"/>
      <c r="E146" s="32"/>
      <c r="F146" s="44"/>
      <c r="G146" s="24"/>
      <c r="H146" s="24"/>
      <c r="I146" s="24"/>
      <c r="J146" s="24"/>
      <c r="K146" s="24"/>
      <c r="L146" s="24"/>
      <c r="M146" s="24"/>
      <c r="N146" s="24"/>
      <c r="O146" s="124"/>
    </row>
    <row r="147" spans="2:15" ht="25.5" customHeight="1" thickTop="1" thickBot="1" x14ac:dyDescent="0.35">
      <c r="B147" s="24"/>
      <c r="C147" s="24"/>
      <c r="D147" s="38"/>
      <c r="E147" s="32"/>
      <c r="F147" s="44"/>
      <c r="G147" s="24"/>
      <c r="H147" s="24"/>
      <c r="I147" s="24"/>
      <c r="J147" s="24"/>
      <c r="K147" s="24"/>
      <c r="L147" s="24"/>
      <c r="M147" s="24"/>
      <c r="N147" s="24"/>
      <c r="O147" s="124"/>
    </row>
    <row r="148" spans="2:15" ht="25.5" customHeight="1" thickTop="1" thickBot="1" x14ac:dyDescent="0.35">
      <c r="B148" s="24"/>
      <c r="C148" s="24"/>
      <c r="D148" s="38"/>
      <c r="E148" s="32"/>
      <c r="F148" s="44"/>
      <c r="G148" s="24"/>
      <c r="H148" s="24"/>
      <c r="I148" s="24"/>
      <c r="J148" s="24"/>
      <c r="K148" s="24"/>
      <c r="L148" s="24"/>
      <c r="M148" s="24"/>
      <c r="N148" s="24"/>
      <c r="O148" s="124"/>
    </row>
    <row r="149" spans="2:15" ht="25.5" customHeight="1" thickTop="1" thickBot="1" x14ac:dyDescent="0.35">
      <c r="B149" s="24"/>
      <c r="C149" s="24"/>
      <c r="D149" s="38"/>
      <c r="E149" s="32"/>
      <c r="F149" s="44"/>
      <c r="G149" s="24"/>
      <c r="H149" s="24"/>
      <c r="I149" s="24"/>
      <c r="J149" s="24"/>
      <c r="K149" s="24"/>
      <c r="L149" s="24"/>
      <c r="M149" s="24"/>
      <c r="N149" s="24"/>
      <c r="O149" s="124"/>
    </row>
    <row r="150" spans="2:15" ht="25.5" customHeight="1" thickTop="1" thickBot="1" x14ac:dyDescent="0.35">
      <c r="B150" s="24"/>
      <c r="C150" s="24"/>
      <c r="D150" s="38"/>
      <c r="E150" s="32"/>
      <c r="F150" s="44"/>
      <c r="G150" s="24"/>
      <c r="H150" s="24"/>
      <c r="I150" s="24"/>
      <c r="J150" s="24"/>
      <c r="K150" s="24"/>
      <c r="L150" s="24"/>
      <c r="M150" s="24"/>
      <c r="N150" s="24"/>
      <c r="O150" s="124"/>
    </row>
    <row r="151" spans="2:15" ht="25.5" customHeight="1" thickTop="1" thickBot="1" x14ac:dyDescent="0.35">
      <c r="B151" s="24"/>
      <c r="C151" s="24"/>
      <c r="D151" s="38"/>
      <c r="E151" s="32"/>
      <c r="F151" s="44"/>
      <c r="G151" s="24"/>
      <c r="H151" s="24"/>
      <c r="I151" s="24"/>
      <c r="J151" s="24"/>
      <c r="K151" s="24"/>
      <c r="L151" s="24"/>
      <c r="M151" s="24"/>
      <c r="N151" s="24"/>
      <c r="O151" s="124"/>
    </row>
    <row r="152" spans="2:15" ht="25.5" customHeight="1" thickTop="1" thickBot="1" x14ac:dyDescent="0.35">
      <c r="B152" s="24"/>
      <c r="C152" s="24"/>
      <c r="D152" s="38"/>
      <c r="E152" s="32"/>
      <c r="F152" s="44"/>
      <c r="G152" s="24"/>
      <c r="H152" s="24"/>
      <c r="I152" s="24"/>
      <c r="J152" s="24"/>
      <c r="K152" s="24"/>
      <c r="L152" s="24"/>
      <c r="M152" s="24"/>
      <c r="N152" s="24"/>
      <c r="O152" s="124"/>
    </row>
    <row r="153" spans="2:15" ht="25.5" customHeight="1" thickTop="1" thickBot="1" x14ac:dyDescent="0.35">
      <c r="B153" s="24"/>
      <c r="C153" s="24"/>
      <c r="D153" s="38"/>
      <c r="E153" s="32"/>
      <c r="F153" s="44"/>
      <c r="G153" s="24"/>
      <c r="H153" s="24"/>
      <c r="I153" s="24"/>
      <c r="J153" s="24"/>
      <c r="K153" s="24"/>
      <c r="L153" s="24"/>
      <c r="M153" s="24"/>
      <c r="N153" s="24"/>
      <c r="O153" s="124"/>
    </row>
    <row r="154" spans="2:15" ht="25.5" customHeight="1" thickTop="1" thickBot="1" x14ac:dyDescent="0.35">
      <c r="B154" s="24"/>
      <c r="C154" s="24"/>
      <c r="D154" s="38"/>
      <c r="E154" s="32"/>
      <c r="F154" s="44"/>
      <c r="G154" s="24"/>
      <c r="H154" s="24"/>
      <c r="I154" s="24"/>
      <c r="J154" s="24"/>
      <c r="K154" s="24"/>
      <c r="L154" s="24"/>
      <c r="M154" s="24"/>
      <c r="N154" s="24"/>
      <c r="O154" s="124"/>
    </row>
    <row r="155" spans="2:15" ht="25.5" customHeight="1" thickTop="1" thickBot="1" x14ac:dyDescent="0.35">
      <c r="B155" s="24"/>
      <c r="C155" s="24"/>
      <c r="D155" s="38"/>
      <c r="E155" s="32"/>
      <c r="F155" s="44"/>
      <c r="G155" s="24"/>
      <c r="H155" s="24"/>
      <c r="I155" s="24"/>
      <c r="J155" s="24"/>
      <c r="K155" s="24"/>
      <c r="L155" s="24"/>
      <c r="M155" s="24"/>
      <c r="N155" s="24"/>
      <c r="O155" s="124"/>
    </row>
    <row r="156" spans="2:15" ht="25.5" customHeight="1" thickTop="1" thickBot="1" x14ac:dyDescent="0.35">
      <c r="B156" s="24"/>
      <c r="C156" s="24"/>
      <c r="D156" s="38"/>
      <c r="E156" s="32"/>
      <c r="F156" s="44"/>
      <c r="G156" s="24"/>
      <c r="H156" s="24"/>
      <c r="I156" s="24"/>
      <c r="J156" s="24"/>
      <c r="K156" s="24"/>
      <c r="L156" s="24"/>
      <c r="M156" s="24"/>
      <c r="N156" s="24"/>
      <c r="O156" s="124"/>
    </row>
    <row r="157" spans="2:15" ht="25.5" customHeight="1" thickTop="1" thickBot="1" x14ac:dyDescent="0.35">
      <c r="B157" s="24"/>
      <c r="C157" s="24"/>
      <c r="D157" s="38"/>
      <c r="E157" s="32"/>
      <c r="F157" s="44"/>
      <c r="G157" s="24"/>
      <c r="H157" s="24"/>
      <c r="I157" s="24"/>
      <c r="J157" s="24"/>
      <c r="K157" s="24"/>
      <c r="L157" s="24"/>
      <c r="M157" s="24"/>
      <c r="N157" s="24"/>
      <c r="O157" s="124"/>
    </row>
    <row r="158" spans="2:15" ht="25.5" customHeight="1" thickTop="1" thickBot="1" x14ac:dyDescent="0.35">
      <c r="B158" s="24"/>
      <c r="C158" s="24"/>
      <c r="D158" s="38"/>
      <c r="E158" s="32"/>
      <c r="F158" s="44"/>
      <c r="G158" s="24"/>
      <c r="H158" s="24"/>
      <c r="I158" s="24"/>
      <c r="J158" s="24"/>
      <c r="K158" s="24"/>
      <c r="L158" s="24"/>
      <c r="M158" s="24"/>
      <c r="N158" s="24"/>
      <c r="O158" s="124"/>
    </row>
    <row r="159" spans="2:15" ht="25.5" customHeight="1" thickTop="1" thickBot="1" x14ac:dyDescent="0.35">
      <c r="B159" s="24"/>
      <c r="C159" s="24"/>
      <c r="D159" s="38"/>
      <c r="E159" s="32"/>
      <c r="F159" s="44"/>
      <c r="G159" s="24"/>
      <c r="H159" s="24"/>
      <c r="I159" s="24"/>
      <c r="J159" s="24"/>
      <c r="K159" s="24"/>
      <c r="L159" s="24"/>
      <c r="M159" s="24"/>
      <c r="N159" s="24"/>
      <c r="O159" s="124"/>
    </row>
    <row r="160" spans="2:15" ht="25.5" customHeight="1" thickTop="1" thickBot="1" x14ac:dyDescent="0.35">
      <c r="B160" s="24"/>
      <c r="C160" s="24"/>
      <c r="D160" s="38"/>
      <c r="E160" s="32"/>
      <c r="F160" s="44"/>
      <c r="G160" s="24"/>
      <c r="H160" s="24"/>
      <c r="I160" s="24"/>
      <c r="J160" s="24"/>
      <c r="K160" s="24"/>
      <c r="L160" s="24"/>
      <c r="M160" s="24"/>
      <c r="N160" s="24"/>
      <c r="O160" s="124"/>
    </row>
    <row r="161" spans="2:15" ht="25.5" customHeight="1" thickTop="1" thickBot="1" x14ac:dyDescent="0.35">
      <c r="B161" s="24"/>
      <c r="C161" s="24"/>
      <c r="D161" s="38"/>
      <c r="E161" s="32"/>
      <c r="F161" s="44"/>
      <c r="G161" s="24"/>
      <c r="H161" s="24"/>
      <c r="I161" s="24"/>
      <c r="J161" s="24"/>
      <c r="K161" s="24"/>
      <c r="L161" s="24"/>
      <c r="M161" s="24"/>
      <c r="N161" s="24"/>
      <c r="O161" s="124"/>
    </row>
    <row r="162" spans="2:15" ht="25.5" customHeight="1" thickTop="1" thickBot="1" x14ac:dyDescent="0.35">
      <c r="B162" s="24"/>
      <c r="C162" s="24"/>
      <c r="D162" s="38"/>
      <c r="E162" s="32"/>
      <c r="F162" s="44"/>
      <c r="G162" s="24"/>
      <c r="H162" s="24"/>
      <c r="I162" s="24"/>
      <c r="J162" s="24"/>
      <c r="K162" s="24"/>
      <c r="L162" s="24"/>
      <c r="M162" s="24"/>
      <c r="N162" s="24"/>
      <c r="O162" s="124"/>
    </row>
    <row r="163" spans="2:15" ht="25.5" customHeight="1" thickTop="1" thickBot="1" x14ac:dyDescent="0.35">
      <c r="B163" s="24"/>
      <c r="C163" s="24"/>
      <c r="D163" s="38"/>
      <c r="E163" s="32"/>
      <c r="F163" s="44"/>
      <c r="G163" s="24"/>
      <c r="H163" s="24"/>
      <c r="I163" s="24"/>
      <c r="J163" s="24"/>
      <c r="K163" s="24"/>
      <c r="L163" s="24"/>
      <c r="M163" s="24"/>
      <c r="N163" s="24"/>
      <c r="O163" s="124"/>
    </row>
    <row r="164" spans="2:15" ht="25.5" customHeight="1" thickTop="1" thickBot="1" x14ac:dyDescent="0.35">
      <c r="B164" s="24"/>
      <c r="C164" s="24"/>
      <c r="D164" s="38"/>
      <c r="E164" s="32"/>
      <c r="F164" s="44"/>
      <c r="G164" s="24"/>
      <c r="H164" s="24"/>
      <c r="I164" s="24"/>
      <c r="J164" s="24"/>
      <c r="K164" s="24"/>
      <c r="L164" s="24"/>
      <c r="M164" s="24"/>
      <c r="N164" s="24"/>
      <c r="O164" s="124"/>
    </row>
    <row r="165" spans="2:15" ht="25.5" customHeight="1" thickTop="1" thickBot="1" x14ac:dyDescent="0.35">
      <c r="B165" s="24"/>
      <c r="C165" s="24"/>
      <c r="D165" s="38"/>
      <c r="E165" s="32"/>
      <c r="F165" s="44"/>
      <c r="G165" s="24"/>
      <c r="H165" s="24"/>
      <c r="I165" s="24"/>
      <c r="J165" s="24"/>
      <c r="K165" s="24"/>
      <c r="L165" s="24"/>
      <c r="M165" s="24"/>
      <c r="N165" s="24"/>
      <c r="O165" s="124"/>
    </row>
    <row r="166" spans="2:15" ht="25.5" customHeight="1" thickTop="1" thickBot="1" x14ac:dyDescent="0.35">
      <c r="B166" s="24"/>
      <c r="C166" s="24"/>
      <c r="D166" s="38"/>
      <c r="E166" s="32"/>
      <c r="F166" s="44"/>
      <c r="G166" s="24"/>
      <c r="H166" s="24"/>
      <c r="I166" s="24"/>
      <c r="J166" s="24"/>
      <c r="K166" s="24"/>
      <c r="L166" s="24"/>
      <c r="M166" s="24"/>
      <c r="N166" s="24"/>
      <c r="O166" s="124"/>
    </row>
    <row r="167" spans="2:15" ht="25.5" customHeight="1" thickTop="1" thickBot="1" x14ac:dyDescent="0.35">
      <c r="B167" s="24"/>
      <c r="C167" s="24"/>
      <c r="D167" s="38"/>
      <c r="E167" s="32"/>
      <c r="F167" s="44"/>
      <c r="G167" s="24"/>
      <c r="H167" s="24"/>
      <c r="I167" s="24"/>
      <c r="J167" s="24"/>
      <c r="K167" s="24"/>
      <c r="L167" s="24"/>
      <c r="M167" s="24"/>
      <c r="N167" s="24"/>
      <c r="O167" s="124"/>
    </row>
    <row r="168" spans="2:15" ht="25.5" customHeight="1" thickTop="1" thickBot="1" x14ac:dyDescent="0.35">
      <c r="B168" s="24"/>
      <c r="C168" s="24"/>
      <c r="D168" s="38"/>
      <c r="E168" s="32"/>
      <c r="F168" s="44"/>
      <c r="G168" s="24"/>
      <c r="H168" s="24"/>
      <c r="I168" s="24"/>
      <c r="J168" s="24"/>
      <c r="K168" s="24"/>
      <c r="L168" s="24"/>
      <c r="M168" s="24"/>
      <c r="N168" s="24"/>
      <c r="O168" s="124"/>
    </row>
    <row r="169" spans="2:15" ht="25.5" customHeight="1" thickTop="1" thickBot="1" x14ac:dyDescent="0.35">
      <c r="B169" s="24"/>
      <c r="C169" s="24"/>
      <c r="D169" s="38"/>
      <c r="E169" s="32"/>
      <c r="F169" s="44"/>
      <c r="G169" s="24"/>
      <c r="H169" s="24"/>
      <c r="I169" s="24"/>
      <c r="J169" s="24"/>
      <c r="K169" s="24"/>
      <c r="L169" s="24"/>
      <c r="M169" s="24"/>
      <c r="N169" s="24"/>
      <c r="O169" s="124"/>
    </row>
    <row r="170" spans="2:15" ht="25.5" customHeight="1" thickTop="1" thickBot="1" x14ac:dyDescent="0.35">
      <c r="B170" s="24"/>
      <c r="C170" s="24"/>
      <c r="D170" s="38"/>
      <c r="E170" s="32"/>
      <c r="F170" s="44"/>
      <c r="G170" s="24"/>
      <c r="H170" s="24"/>
      <c r="I170" s="24"/>
      <c r="J170" s="24"/>
      <c r="K170" s="24"/>
      <c r="L170" s="24"/>
      <c r="M170" s="24"/>
      <c r="N170" s="24"/>
      <c r="O170" s="124"/>
    </row>
    <row r="171" spans="2:15" ht="25.5" customHeight="1" thickTop="1" thickBot="1" x14ac:dyDescent="0.35">
      <c r="B171" s="24"/>
      <c r="C171" s="24"/>
      <c r="D171" s="38"/>
      <c r="E171" s="32"/>
      <c r="F171" s="44"/>
      <c r="G171" s="24"/>
      <c r="H171" s="24"/>
      <c r="I171" s="24"/>
      <c r="J171" s="24"/>
      <c r="K171" s="24"/>
      <c r="L171" s="24"/>
      <c r="M171" s="24"/>
      <c r="N171" s="24"/>
      <c r="O171" s="124"/>
    </row>
    <row r="172" spans="2:15" ht="25.5" customHeight="1" thickTop="1" thickBot="1" x14ac:dyDescent="0.35">
      <c r="B172" s="24"/>
      <c r="C172" s="24"/>
      <c r="D172" s="38"/>
      <c r="E172" s="32"/>
      <c r="F172" s="44"/>
      <c r="G172" s="24"/>
      <c r="H172" s="24"/>
      <c r="I172" s="24"/>
      <c r="J172" s="24"/>
      <c r="K172" s="24"/>
      <c r="L172" s="24"/>
      <c r="M172" s="24"/>
      <c r="N172" s="24"/>
      <c r="O172" s="124"/>
    </row>
    <row r="173" spans="2:15" ht="25.5" customHeight="1" thickTop="1" thickBot="1" x14ac:dyDescent="0.35">
      <c r="B173" s="24"/>
      <c r="C173" s="24"/>
      <c r="D173" s="38"/>
      <c r="E173" s="32"/>
      <c r="F173" s="44"/>
      <c r="G173" s="24"/>
      <c r="H173" s="24"/>
      <c r="I173" s="24"/>
      <c r="J173" s="24"/>
      <c r="K173" s="24"/>
      <c r="L173" s="24"/>
      <c r="M173" s="24"/>
      <c r="N173" s="24"/>
      <c r="O173" s="124"/>
    </row>
    <row r="174" spans="2:15" ht="25.5" customHeight="1" thickTop="1" thickBot="1" x14ac:dyDescent="0.35">
      <c r="B174" s="24"/>
      <c r="C174" s="24"/>
      <c r="D174" s="38"/>
      <c r="E174" s="32"/>
      <c r="F174" s="44"/>
      <c r="G174" s="24"/>
      <c r="H174" s="24"/>
      <c r="I174" s="24"/>
      <c r="J174" s="24"/>
      <c r="K174" s="24"/>
      <c r="L174" s="24"/>
      <c r="M174" s="24"/>
      <c r="N174" s="24"/>
      <c r="O174" s="124"/>
    </row>
    <row r="175" spans="2:15" ht="25.5" customHeight="1" thickTop="1" thickBot="1" x14ac:dyDescent="0.35">
      <c r="B175" s="24"/>
      <c r="C175" s="24"/>
      <c r="D175" s="38"/>
      <c r="E175" s="32"/>
      <c r="F175" s="44"/>
      <c r="G175" s="24"/>
      <c r="H175" s="24"/>
      <c r="I175" s="24"/>
      <c r="J175" s="24"/>
      <c r="K175" s="24"/>
      <c r="L175" s="24"/>
      <c r="M175" s="24"/>
      <c r="N175" s="24"/>
      <c r="O175" s="124"/>
    </row>
    <row r="176" spans="2:15" ht="25.5" customHeight="1" thickTop="1" thickBot="1" x14ac:dyDescent="0.35">
      <c r="B176" s="24"/>
      <c r="C176" s="24"/>
      <c r="D176" s="38"/>
      <c r="E176" s="32"/>
      <c r="F176" s="44"/>
      <c r="G176" s="24"/>
      <c r="H176" s="24"/>
      <c r="I176" s="24"/>
      <c r="J176" s="24"/>
      <c r="K176" s="24"/>
      <c r="L176" s="24"/>
      <c r="M176" s="24"/>
      <c r="N176" s="24"/>
      <c r="O176" s="124"/>
    </row>
    <row r="177" spans="2:15" ht="25.5" customHeight="1" thickTop="1" thickBot="1" x14ac:dyDescent="0.35">
      <c r="B177" s="24"/>
      <c r="C177" s="24"/>
      <c r="D177" s="38"/>
      <c r="E177" s="32"/>
      <c r="F177" s="44"/>
      <c r="G177" s="24"/>
      <c r="H177" s="24"/>
      <c r="I177" s="24"/>
      <c r="J177" s="24"/>
      <c r="K177" s="24"/>
      <c r="L177" s="24"/>
      <c r="M177" s="24"/>
      <c r="N177" s="24"/>
      <c r="O177" s="124"/>
    </row>
    <row r="178" spans="2:15" ht="25.5" customHeight="1" thickTop="1" thickBot="1" x14ac:dyDescent="0.35">
      <c r="B178" s="24"/>
      <c r="C178" s="24"/>
      <c r="D178" s="38"/>
      <c r="E178" s="32"/>
      <c r="F178" s="44"/>
      <c r="G178" s="24"/>
      <c r="H178" s="24"/>
      <c r="I178" s="24"/>
      <c r="J178" s="24"/>
      <c r="K178" s="24"/>
      <c r="L178" s="24"/>
      <c r="M178" s="24"/>
      <c r="N178" s="24"/>
      <c r="O178" s="124"/>
    </row>
    <row r="179" spans="2:15" ht="25.5" customHeight="1" thickTop="1" thickBot="1" x14ac:dyDescent="0.35">
      <c r="B179" s="24"/>
      <c r="C179" s="24"/>
      <c r="D179" s="38"/>
      <c r="E179" s="32"/>
      <c r="F179" s="44"/>
      <c r="G179" s="24"/>
      <c r="H179" s="24"/>
      <c r="I179" s="24"/>
      <c r="J179" s="24"/>
      <c r="K179" s="24"/>
      <c r="L179" s="24"/>
      <c r="M179" s="24"/>
      <c r="N179" s="24"/>
      <c r="O179" s="124"/>
    </row>
    <row r="180" spans="2:15" ht="25.5" customHeight="1" thickTop="1" thickBot="1" x14ac:dyDescent="0.35">
      <c r="B180" s="24"/>
      <c r="C180" s="24"/>
      <c r="D180" s="38"/>
      <c r="E180" s="32"/>
      <c r="F180" s="44"/>
      <c r="G180" s="24"/>
      <c r="H180" s="24"/>
      <c r="I180" s="24"/>
      <c r="J180" s="24"/>
      <c r="K180" s="24"/>
      <c r="L180" s="24"/>
      <c r="M180" s="24"/>
      <c r="N180" s="24"/>
      <c r="O180" s="124"/>
    </row>
    <row r="181" spans="2:15" ht="25.5" customHeight="1" thickTop="1" thickBot="1" x14ac:dyDescent="0.35">
      <c r="B181" s="24"/>
      <c r="C181" s="24"/>
      <c r="D181" s="38"/>
      <c r="E181" s="32"/>
      <c r="F181" s="44"/>
      <c r="G181" s="24"/>
      <c r="H181" s="24"/>
      <c r="I181" s="24"/>
      <c r="J181" s="24"/>
      <c r="K181" s="24"/>
      <c r="L181" s="24"/>
      <c r="M181" s="24"/>
      <c r="N181" s="24"/>
      <c r="O181" s="124"/>
    </row>
    <row r="182" spans="2:15" ht="25.5" customHeight="1" thickTop="1" thickBot="1" x14ac:dyDescent="0.35">
      <c r="B182" s="24"/>
      <c r="C182" s="24"/>
      <c r="D182" s="38"/>
      <c r="E182" s="32"/>
      <c r="F182" s="44"/>
      <c r="G182" s="24"/>
      <c r="H182" s="24"/>
      <c r="I182" s="24"/>
      <c r="J182" s="24"/>
      <c r="K182" s="24"/>
      <c r="L182" s="24"/>
      <c r="M182" s="24"/>
      <c r="N182" s="24"/>
      <c r="O182" s="124"/>
    </row>
    <row r="183" spans="2:15" ht="25.5" customHeight="1" thickTop="1" thickBot="1" x14ac:dyDescent="0.35">
      <c r="B183" s="24"/>
      <c r="C183" s="24"/>
      <c r="D183" s="38"/>
      <c r="E183" s="32"/>
      <c r="F183" s="44"/>
      <c r="G183" s="24"/>
      <c r="H183" s="24"/>
      <c r="I183" s="24"/>
      <c r="J183" s="24"/>
      <c r="K183" s="24"/>
      <c r="L183" s="24"/>
      <c r="M183" s="24"/>
      <c r="N183" s="24"/>
      <c r="O183" s="124"/>
    </row>
    <row r="184" spans="2:15" ht="25.5" customHeight="1" thickTop="1" thickBot="1" x14ac:dyDescent="0.35">
      <c r="B184" s="24"/>
      <c r="C184" s="24"/>
      <c r="D184" s="38"/>
      <c r="E184" s="32"/>
      <c r="F184" s="44"/>
      <c r="G184" s="24"/>
      <c r="H184" s="24"/>
      <c r="I184" s="24"/>
      <c r="J184" s="24"/>
      <c r="K184" s="24"/>
      <c r="L184" s="24"/>
      <c r="M184" s="24"/>
      <c r="N184" s="24"/>
      <c r="O184" s="124"/>
    </row>
    <row r="185" spans="2:15" ht="25.5" customHeight="1" thickTop="1" thickBot="1" x14ac:dyDescent="0.35">
      <c r="B185" s="24"/>
      <c r="C185" s="24"/>
      <c r="D185" s="38"/>
      <c r="E185" s="32"/>
      <c r="F185" s="44"/>
      <c r="G185" s="24"/>
      <c r="H185" s="24"/>
      <c r="I185" s="24"/>
      <c r="J185" s="24"/>
      <c r="K185" s="24"/>
      <c r="L185" s="24"/>
      <c r="M185" s="24"/>
      <c r="N185" s="24"/>
      <c r="O185" s="124"/>
    </row>
    <row r="186" spans="2:15" ht="25.5" customHeight="1" thickTop="1" thickBot="1" x14ac:dyDescent="0.35">
      <c r="B186" s="24"/>
      <c r="C186" s="24"/>
      <c r="D186" s="38"/>
      <c r="E186" s="32"/>
      <c r="F186" s="44"/>
      <c r="G186" s="24"/>
      <c r="H186" s="24"/>
      <c r="I186" s="24"/>
      <c r="J186" s="24"/>
      <c r="K186" s="24"/>
      <c r="L186" s="24"/>
      <c r="M186" s="24"/>
      <c r="N186" s="24"/>
      <c r="O186" s="124"/>
    </row>
    <row r="187" spans="2:15" ht="25.5" customHeight="1" thickTop="1" thickBot="1" x14ac:dyDescent="0.35">
      <c r="B187" s="24"/>
      <c r="C187" s="24"/>
      <c r="D187" s="38"/>
      <c r="E187" s="32"/>
      <c r="F187" s="44"/>
      <c r="G187" s="24"/>
      <c r="H187" s="24"/>
      <c r="I187" s="24"/>
      <c r="J187" s="24"/>
      <c r="K187" s="24"/>
      <c r="L187" s="24"/>
      <c r="M187" s="24"/>
      <c r="N187" s="24"/>
      <c r="O187" s="124"/>
    </row>
    <row r="188" spans="2:15" ht="25.5" customHeight="1" thickTop="1" thickBot="1" x14ac:dyDescent="0.35">
      <c r="B188" s="24"/>
      <c r="C188" s="24"/>
      <c r="D188" s="38"/>
      <c r="E188" s="32"/>
      <c r="F188" s="44"/>
      <c r="G188" s="24"/>
      <c r="H188" s="24"/>
      <c r="I188" s="24"/>
      <c r="J188" s="24"/>
      <c r="K188" s="24"/>
      <c r="L188" s="24"/>
      <c r="M188" s="24"/>
      <c r="N188" s="24"/>
      <c r="O188" s="124"/>
    </row>
    <row r="189" spans="2:15" ht="25.5" customHeight="1" thickTop="1" thickBot="1" x14ac:dyDescent="0.35">
      <c r="B189" s="24"/>
      <c r="C189" s="24"/>
      <c r="D189" s="38"/>
      <c r="E189" s="32"/>
      <c r="F189" s="44"/>
      <c r="G189" s="24"/>
      <c r="H189" s="24"/>
      <c r="I189" s="24"/>
      <c r="J189" s="24"/>
      <c r="K189" s="24"/>
      <c r="L189" s="24"/>
      <c r="M189" s="24"/>
      <c r="N189" s="24"/>
      <c r="O189" s="124"/>
    </row>
    <row r="190" spans="2:15" ht="25.5" customHeight="1" thickTop="1" thickBot="1" x14ac:dyDescent="0.35">
      <c r="B190" s="24"/>
      <c r="C190" s="24"/>
      <c r="D190" s="38"/>
      <c r="E190" s="32"/>
      <c r="F190" s="44"/>
      <c r="G190" s="24"/>
      <c r="H190" s="24"/>
      <c r="I190" s="24"/>
      <c r="J190" s="24"/>
      <c r="K190" s="24"/>
      <c r="L190" s="24"/>
      <c r="M190" s="24"/>
      <c r="N190" s="24"/>
      <c r="O190" s="124"/>
    </row>
    <row r="191" spans="2:15" ht="25.5" customHeight="1" thickTop="1" thickBot="1" x14ac:dyDescent="0.35">
      <c r="B191" s="24"/>
      <c r="C191" s="24"/>
      <c r="D191" s="38"/>
      <c r="E191" s="32"/>
      <c r="F191" s="44"/>
      <c r="G191" s="24"/>
      <c r="H191" s="24"/>
      <c r="I191" s="24"/>
      <c r="J191" s="24"/>
      <c r="K191" s="24"/>
      <c r="L191" s="24"/>
      <c r="M191" s="24"/>
      <c r="N191" s="24"/>
      <c r="O191" s="124"/>
    </row>
    <row r="192" spans="2:15" ht="25.5" customHeight="1" thickTop="1" thickBot="1" x14ac:dyDescent="0.35">
      <c r="B192" s="24"/>
      <c r="C192" s="24"/>
      <c r="D192" s="38"/>
      <c r="E192" s="32"/>
      <c r="F192" s="44"/>
      <c r="G192" s="24"/>
      <c r="H192" s="24"/>
      <c r="I192" s="24"/>
      <c r="J192" s="24"/>
      <c r="K192" s="24"/>
      <c r="L192" s="24"/>
      <c r="M192" s="24"/>
      <c r="N192" s="24"/>
      <c r="O192" s="124"/>
    </row>
    <row r="193" spans="2:15" ht="25.5" customHeight="1" thickTop="1" thickBot="1" x14ac:dyDescent="0.35">
      <c r="B193" s="24"/>
      <c r="C193" s="24"/>
      <c r="D193" s="38"/>
      <c r="E193" s="32"/>
      <c r="F193" s="44"/>
      <c r="G193" s="24"/>
      <c r="H193" s="24"/>
      <c r="I193" s="24"/>
      <c r="J193" s="24"/>
      <c r="K193" s="24"/>
      <c r="L193" s="24"/>
      <c r="M193" s="24"/>
      <c r="N193" s="24"/>
      <c r="O193" s="124"/>
    </row>
    <row r="194" spans="2:15" ht="25.5" customHeight="1" thickTop="1" thickBot="1" x14ac:dyDescent="0.35">
      <c r="B194" s="24"/>
      <c r="C194" s="24"/>
      <c r="D194" s="38"/>
      <c r="E194" s="32"/>
      <c r="F194" s="44"/>
      <c r="G194" s="24"/>
      <c r="H194" s="24"/>
      <c r="I194" s="24"/>
      <c r="J194" s="24"/>
      <c r="K194" s="24"/>
      <c r="L194" s="24"/>
      <c r="M194" s="24"/>
      <c r="N194" s="24"/>
      <c r="O194" s="124"/>
    </row>
    <row r="195" spans="2:15" ht="25.5" customHeight="1" thickTop="1" thickBot="1" x14ac:dyDescent="0.35">
      <c r="B195" s="24"/>
      <c r="C195" s="24"/>
      <c r="D195" s="38"/>
      <c r="E195" s="32"/>
      <c r="F195" s="44"/>
      <c r="G195" s="24"/>
      <c r="H195" s="24"/>
      <c r="I195" s="24"/>
      <c r="J195" s="24"/>
      <c r="K195" s="24"/>
      <c r="L195" s="24"/>
      <c r="M195" s="24"/>
      <c r="N195" s="24"/>
      <c r="O195" s="124"/>
    </row>
    <row r="196" spans="2:15" ht="25.5" customHeight="1" thickTop="1" thickBot="1" x14ac:dyDescent="0.35">
      <c r="B196" s="24"/>
      <c r="C196" s="24"/>
      <c r="D196" s="38"/>
      <c r="E196" s="32"/>
      <c r="F196" s="44"/>
      <c r="G196" s="24"/>
      <c r="H196" s="24"/>
      <c r="I196" s="24"/>
      <c r="J196" s="24"/>
      <c r="K196" s="24"/>
      <c r="L196" s="24"/>
      <c r="M196" s="24"/>
      <c r="N196" s="24"/>
      <c r="O196" s="124"/>
    </row>
    <row r="197" spans="2:15" ht="25.5" customHeight="1" thickTop="1" thickBot="1" x14ac:dyDescent="0.35">
      <c r="B197" s="24"/>
      <c r="C197" s="24"/>
      <c r="D197" s="38"/>
      <c r="E197" s="32"/>
      <c r="F197" s="44"/>
      <c r="G197" s="24"/>
      <c r="H197" s="24"/>
      <c r="I197" s="24"/>
      <c r="J197" s="24"/>
      <c r="K197" s="24"/>
      <c r="L197" s="24"/>
      <c r="M197" s="24"/>
      <c r="N197" s="24"/>
      <c r="O197" s="124"/>
    </row>
    <row r="198" spans="2:15" ht="25.5" customHeight="1" thickTop="1" thickBot="1" x14ac:dyDescent="0.35">
      <c r="B198" s="24"/>
      <c r="C198" s="24"/>
      <c r="D198" s="38"/>
      <c r="E198" s="32"/>
      <c r="F198" s="44"/>
      <c r="G198" s="24"/>
      <c r="H198" s="24"/>
      <c r="I198" s="24"/>
      <c r="J198" s="24"/>
      <c r="K198" s="24"/>
      <c r="L198" s="24"/>
      <c r="M198" s="24"/>
      <c r="N198" s="24"/>
      <c r="O198" s="124"/>
    </row>
    <row r="199" spans="2:15" ht="25.5" customHeight="1" thickTop="1" thickBot="1" x14ac:dyDescent="0.35">
      <c r="B199" s="24"/>
      <c r="C199" s="24"/>
      <c r="D199" s="38"/>
      <c r="E199" s="32"/>
      <c r="F199" s="44"/>
      <c r="G199" s="24"/>
      <c r="H199" s="24"/>
      <c r="I199" s="24"/>
      <c r="J199" s="24"/>
      <c r="K199" s="24"/>
      <c r="L199" s="24"/>
      <c r="M199" s="24"/>
      <c r="N199" s="24"/>
      <c r="O199" s="124"/>
    </row>
    <row r="200" spans="2:15" ht="25.5" customHeight="1" thickTop="1" thickBot="1" x14ac:dyDescent="0.35">
      <c r="B200" s="24"/>
      <c r="C200" s="24"/>
      <c r="D200" s="38"/>
      <c r="E200" s="32"/>
      <c r="F200" s="44"/>
      <c r="G200" s="24"/>
      <c r="H200" s="24"/>
      <c r="I200" s="24"/>
      <c r="J200" s="24"/>
      <c r="K200" s="24"/>
      <c r="L200" s="24"/>
      <c r="M200" s="24"/>
      <c r="N200" s="24"/>
      <c r="O200" s="124"/>
    </row>
    <row r="201" spans="2:15" ht="25.5" customHeight="1" thickTop="1" thickBot="1" x14ac:dyDescent="0.35">
      <c r="B201" s="24"/>
      <c r="C201" s="24"/>
      <c r="D201" s="38"/>
      <c r="E201" s="32"/>
      <c r="F201" s="44"/>
      <c r="G201" s="24"/>
      <c r="H201" s="24"/>
      <c r="I201" s="24"/>
      <c r="J201" s="24"/>
      <c r="K201" s="24"/>
      <c r="L201" s="24"/>
      <c r="M201" s="24"/>
      <c r="N201" s="24"/>
      <c r="O201" s="124"/>
    </row>
    <row r="202" spans="2:15" ht="25.5" customHeight="1" thickTop="1" thickBot="1" x14ac:dyDescent="0.35">
      <c r="B202" s="24"/>
      <c r="C202" s="24"/>
      <c r="D202" s="38"/>
      <c r="E202" s="32"/>
      <c r="F202" s="44"/>
      <c r="G202" s="24"/>
      <c r="H202" s="24"/>
      <c r="I202" s="24"/>
      <c r="J202" s="24"/>
      <c r="K202" s="24"/>
      <c r="L202" s="24"/>
      <c r="M202" s="24"/>
      <c r="N202" s="24"/>
      <c r="O202" s="124"/>
    </row>
    <row r="203" spans="2:15" ht="25.5" customHeight="1" thickTop="1" thickBot="1" x14ac:dyDescent="0.35">
      <c r="B203" s="24"/>
      <c r="C203" s="24"/>
      <c r="D203" s="38"/>
      <c r="E203" s="32"/>
      <c r="F203" s="44"/>
      <c r="G203" s="24"/>
      <c r="H203" s="24"/>
      <c r="I203" s="24"/>
      <c r="J203" s="24"/>
      <c r="K203" s="24"/>
      <c r="L203" s="24"/>
      <c r="M203" s="24"/>
      <c r="N203" s="24"/>
      <c r="O203" s="124"/>
    </row>
    <row r="204" spans="2:15" ht="25.5" customHeight="1" thickTop="1" thickBot="1" x14ac:dyDescent="0.35">
      <c r="B204" s="24"/>
      <c r="C204" s="24"/>
      <c r="D204" s="38"/>
      <c r="E204" s="32"/>
      <c r="F204" s="44"/>
      <c r="G204" s="24"/>
      <c r="H204" s="24"/>
      <c r="I204" s="24"/>
      <c r="J204" s="24"/>
      <c r="K204" s="24"/>
      <c r="L204" s="24"/>
      <c r="M204" s="24"/>
      <c r="N204" s="24"/>
      <c r="O204" s="124"/>
    </row>
    <row r="205" spans="2:15" ht="25.5" customHeight="1" thickTop="1" thickBot="1" x14ac:dyDescent="0.35">
      <c r="B205" s="24"/>
      <c r="C205" s="24"/>
      <c r="D205" s="38"/>
      <c r="E205" s="32"/>
      <c r="F205" s="44"/>
      <c r="G205" s="24"/>
      <c r="H205" s="24"/>
      <c r="I205" s="24"/>
      <c r="J205" s="24"/>
      <c r="K205" s="24"/>
      <c r="L205" s="24"/>
      <c r="M205" s="24"/>
      <c r="N205" s="24"/>
      <c r="O205" s="124"/>
    </row>
    <row r="206" spans="2:15" ht="25.5" customHeight="1" thickTop="1" thickBot="1" x14ac:dyDescent="0.35">
      <c r="B206" s="24"/>
      <c r="C206" s="24"/>
      <c r="D206" s="38"/>
      <c r="E206" s="32"/>
      <c r="F206" s="44"/>
      <c r="G206" s="24"/>
      <c r="H206" s="24"/>
      <c r="I206" s="24"/>
      <c r="J206" s="24"/>
      <c r="K206" s="24"/>
      <c r="L206" s="24"/>
      <c r="M206" s="24"/>
      <c r="N206" s="24"/>
      <c r="O206" s="124"/>
    </row>
    <row r="207" spans="2:15" ht="25.5" customHeight="1" thickTop="1" thickBot="1" x14ac:dyDescent="0.35">
      <c r="B207" s="24"/>
      <c r="C207" s="24"/>
      <c r="D207" s="38"/>
      <c r="E207" s="32"/>
      <c r="F207" s="44"/>
      <c r="G207" s="24"/>
      <c r="H207" s="24"/>
      <c r="I207" s="24"/>
      <c r="J207" s="24"/>
      <c r="K207" s="24"/>
      <c r="L207" s="24"/>
      <c r="M207" s="24"/>
      <c r="N207" s="24"/>
      <c r="O207" s="124"/>
    </row>
    <row r="208" spans="2:15" ht="25.5" customHeight="1" thickTop="1" thickBot="1" x14ac:dyDescent="0.35">
      <c r="B208" s="24"/>
      <c r="C208" s="24"/>
      <c r="D208" s="38"/>
      <c r="E208" s="32"/>
      <c r="F208" s="44"/>
      <c r="G208" s="24"/>
      <c r="H208" s="24"/>
      <c r="I208" s="24"/>
      <c r="J208" s="24"/>
      <c r="K208" s="24"/>
      <c r="L208" s="24"/>
      <c r="M208" s="24"/>
      <c r="N208" s="24"/>
      <c r="O208" s="124"/>
    </row>
    <row r="209" spans="2:15" ht="25.5" customHeight="1" thickTop="1" thickBot="1" x14ac:dyDescent="0.35">
      <c r="B209" s="24"/>
      <c r="C209" s="24"/>
      <c r="D209" s="38"/>
      <c r="E209" s="32"/>
      <c r="F209" s="44"/>
      <c r="G209" s="24"/>
      <c r="H209" s="24"/>
      <c r="I209" s="24"/>
      <c r="J209" s="24"/>
      <c r="K209" s="24"/>
      <c r="L209" s="24"/>
      <c r="M209" s="24"/>
      <c r="N209" s="24"/>
      <c r="O209" s="124"/>
    </row>
    <row r="210" spans="2:15" ht="25.5" customHeight="1" thickTop="1" thickBot="1" x14ac:dyDescent="0.35">
      <c r="B210" s="24"/>
      <c r="C210" s="24"/>
      <c r="D210" s="38"/>
      <c r="E210" s="32"/>
      <c r="F210" s="44"/>
      <c r="G210" s="24"/>
      <c r="H210" s="24"/>
      <c r="I210" s="24"/>
      <c r="J210" s="24"/>
      <c r="K210" s="24"/>
      <c r="L210" s="24"/>
      <c r="M210" s="24"/>
      <c r="N210" s="24"/>
      <c r="O210" s="124"/>
    </row>
    <row r="211" spans="2:15" ht="25.5" customHeight="1" thickTop="1" thickBot="1" x14ac:dyDescent="0.35">
      <c r="B211" s="24"/>
      <c r="C211" s="24"/>
      <c r="D211" s="38"/>
      <c r="E211" s="32"/>
      <c r="F211" s="44"/>
      <c r="G211" s="24"/>
      <c r="H211" s="24"/>
      <c r="I211" s="24"/>
      <c r="J211" s="24"/>
      <c r="K211" s="24"/>
      <c r="L211" s="24"/>
      <c r="M211" s="24"/>
      <c r="N211" s="24"/>
      <c r="O211" s="124"/>
    </row>
    <row r="212" spans="2:15" ht="25.5" customHeight="1" thickTop="1" thickBot="1" x14ac:dyDescent="0.35">
      <c r="B212" s="24"/>
      <c r="C212" s="24"/>
      <c r="D212" s="38"/>
      <c r="E212" s="32"/>
      <c r="F212" s="44"/>
      <c r="G212" s="24"/>
      <c r="H212" s="24"/>
      <c r="I212" s="24"/>
      <c r="J212" s="24"/>
      <c r="K212" s="24"/>
      <c r="L212" s="24"/>
      <c r="M212" s="24"/>
      <c r="N212" s="24"/>
      <c r="O212" s="124"/>
    </row>
    <row r="213" spans="2:15" ht="25.5" customHeight="1" thickTop="1" thickBot="1" x14ac:dyDescent="0.35">
      <c r="B213" s="24"/>
      <c r="C213" s="24"/>
      <c r="D213" s="38"/>
      <c r="E213" s="32"/>
      <c r="F213" s="44"/>
      <c r="G213" s="24"/>
      <c r="H213" s="24"/>
      <c r="I213" s="24"/>
      <c r="J213" s="24"/>
      <c r="K213" s="24"/>
      <c r="L213" s="24"/>
      <c r="M213" s="24"/>
      <c r="N213" s="24"/>
      <c r="O213" s="124"/>
    </row>
    <row r="214" spans="2:15" ht="25.5" customHeight="1" thickTop="1" thickBot="1" x14ac:dyDescent="0.35">
      <c r="B214" s="24"/>
      <c r="C214" s="24"/>
      <c r="D214" s="38"/>
      <c r="E214" s="32"/>
      <c r="F214" s="44"/>
      <c r="G214" s="24"/>
      <c r="H214" s="24"/>
      <c r="I214" s="24"/>
      <c r="J214" s="24"/>
      <c r="K214" s="24"/>
      <c r="L214" s="24"/>
      <c r="M214" s="24"/>
      <c r="N214" s="24"/>
      <c r="O214" s="124"/>
    </row>
    <row r="215" spans="2:15" ht="25.5" customHeight="1" thickTop="1" thickBot="1" x14ac:dyDescent="0.35">
      <c r="B215" s="24"/>
      <c r="C215" s="24"/>
      <c r="D215" s="38"/>
      <c r="E215" s="32"/>
      <c r="F215" s="44"/>
      <c r="G215" s="24"/>
      <c r="H215" s="24"/>
      <c r="I215" s="24"/>
      <c r="J215" s="24"/>
      <c r="K215" s="24"/>
      <c r="L215" s="24"/>
      <c r="M215" s="24"/>
      <c r="N215" s="24"/>
      <c r="O215" s="124"/>
    </row>
    <row r="216" spans="2:15" ht="25.5" customHeight="1" thickTop="1" thickBot="1" x14ac:dyDescent="0.35">
      <c r="B216" s="24"/>
      <c r="C216" s="24"/>
      <c r="D216" s="38"/>
      <c r="E216" s="32"/>
      <c r="F216" s="44"/>
      <c r="G216" s="24"/>
      <c r="H216" s="24"/>
      <c r="I216" s="24"/>
      <c r="J216" s="24"/>
      <c r="K216" s="24"/>
      <c r="L216" s="24"/>
      <c r="M216" s="24"/>
      <c r="N216" s="24"/>
      <c r="O216" s="124"/>
    </row>
    <row r="217" spans="2:15" ht="25.5" customHeight="1" thickTop="1" thickBot="1" x14ac:dyDescent="0.35">
      <c r="B217" s="24"/>
      <c r="C217" s="24"/>
      <c r="D217" s="38"/>
      <c r="E217" s="32"/>
      <c r="F217" s="44"/>
      <c r="G217" s="24"/>
      <c r="H217" s="24"/>
      <c r="I217" s="24"/>
      <c r="J217" s="24"/>
      <c r="K217" s="24"/>
      <c r="L217" s="24"/>
      <c r="M217" s="24"/>
      <c r="N217" s="24"/>
      <c r="O217" s="124"/>
    </row>
    <row r="218" spans="2:15" ht="25.5" customHeight="1" thickTop="1" thickBot="1" x14ac:dyDescent="0.35">
      <c r="B218" s="24"/>
      <c r="C218" s="24"/>
      <c r="D218" s="38"/>
      <c r="E218" s="32"/>
      <c r="F218" s="44"/>
      <c r="G218" s="24"/>
      <c r="H218" s="24"/>
      <c r="I218" s="24"/>
      <c r="J218" s="24"/>
      <c r="K218" s="24"/>
      <c r="L218" s="24"/>
      <c r="M218" s="24"/>
      <c r="N218" s="24"/>
      <c r="O218" s="124"/>
    </row>
    <row r="219" spans="2:15" ht="25.5" customHeight="1" thickTop="1" thickBot="1" x14ac:dyDescent="0.35">
      <c r="B219" s="24"/>
      <c r="C219" s="24"/>
      <c r="D219" s="38"/>
      <c r="E219" s="32"/>
      <c r="F219" s="44"/>
      <c r="G219" s="24"/>
      <c r="H219" s="24"/>
      <c r="I219" s="24"/>
      <c r="J219" s="24"/>
      <c r="K219" s="24"/>
      <c r="L219" s="24"/>
      <c r="M219" s="24"/>
      <c r="N219" s="24"/>
      <c r="O219" s="124"/>
    </row>
    <row r="220" spans="2:15" ht="25.5" customHeight="1" thickTop="1" thickBot="1" x14ac:dyDescent="0.35">
      <c r="B220" s="24"/>
      <c r="C220" s="24"/>
      <c r="D220" s="38"/>
      <c r="E220" s="32"/>
      <c r="F220" s="44"/>
      <c r="G220" s="24"/>
      <c r="H220" s="24"/>
      <c r="I220" s="24"/>
      <c r="J220" s="24"/>
      <c r="K220" s="24"/>
      <c r="L220" s="24"/>
      <c r="M220" s="24"/>
      <c r="N220" s="24"/>
      <c r="O220" s="124"/>
    </row>
    <row r="221" spans="2:15" ht="25.5" customHeight="1" thickTop="1" thickBot="1" x14ac:dyDescent="0.35">
      <c r="B221" s="24"/>
      <c r="C221" s="24"/>
      <c r="D221" s="38"/>
      <c r="E221" s="32"/>
      <c r="F221" s="44"/>
      <c r="G221" s="24"/>
      <c r="H221" s="24"/>
      <c r="I221" s="24"/>
      <c r="J221" s="24"/>
      <c r="K221" s="24"/>
      <c r="L221" s="24"/>
      <c r="M221" s="24"/>
      <c r="N221" s="24"/>
      <c r="O221" s="124"/>
    </row>
    <row r="222" spans="2:15" ht="25.5" customHeight="1" thickTop="1" thickBot="1" x14ac:dyDescent="0.35">
      <c r="B222" s="24"/>
      <c r="C222" s="24"/>
      <c r="D222" s="38"/>
      <c r="E222" s="32"/>
      <c r="F222" s="44"/>
      <c r="G222" s="24"/>
      <c r="H222" s="24"/>
      <c r="I222" s="24"/>
      <c r="J222" s="24"/>
      <c r="K222" s="24"/>
      <c r="L222" s="24"/>
      <c r="M222" s="24"/>
      <c r="N222" s="24"/>
      <c r="O222" s="124"/>
    </row>
    <row r="223" spans="2:15" ht="25.5" customHeight="1" thickTop="1" thickBot="1" x14ac:dyDescent="0.35">
      <c r="B223" s="24"/>
      <c r="C223" s="24"/>
      <c r="D223" s="38"/>
      <c r="E223" s="32"/>
      <c r="F223" s="44"/>
      <c r="G223" s="24"/>
      <c r="H223" s="24"/>
      <c r="I223" s="24"/>
      <c r="J223" s="24"/>
      <c r="K223" s="24"/>
      <c r="L223" s="24"/>
      <c r="M223" s="24"/>
      <c r="N223" s="24"/>
      <c r="O223" s="124"/>
    </row>
    <row r="224" spans="2:15" ht="25.5" customHeight="1" thickTop="1" thickBot="1" x14ac:dyDescent="0.35">
      <c r="B224" s="24"/>
      <c r="C224" s="24"/>
      <c r="D224" s="38"/>
      <c r="E224" s="32"/>
      <c r="F224" s="44"/>
      <c r="G224" s="24"/>
      <c r="H224" s="24"/>
      <c r="I224" s="24"/>
      <c r="J224" s="24"/>
      <c r="K224" s="24"/>
      <c r="L224" s="24"/>
      <c r="M224" s="24"/>
      <c r="N224" s="24"/>
      <c r="O224" s="124"/>
    </row>
    <row r="225" spans="2:15" ht="25.5" customHeight="1" thickTop="1" thickBot="1" x14ac:dyDescent="0.35">
      <c r="B225" s="24"/>
      <c r="C225" s="24"/>
      <c r="D225" s="38"/>
      <c r="E225" s="32"/>
      <c r="F225" s="44"/>
      <c r="G225" s="24"/>
      <c r="H225" s="24"/>
      <c r="I225" s="24"/>
      <c r="J225" s="24"/>
      <c r="K225" s="24"/>
      <c r="L225" s="24"/>
      <c r="M225" s="24"/>
      <c r="N225" s="24"/>
      <c r="O225" s="124"/>
    </row>
    <row r="226" spans="2:15" ht="25.5" customHeight="1" thickTop="1" thickBot="1" x14ac:dyDescent="0.35">
      <c r="B226" s="24"/>
      <c r="C226" s="24"/>
      <c r="D226" s="38"/>
      <c r="E226" s="32"/>
      <c r="F226" s="44"/>
      <c r="G226" s="24"/>
      <c r="H226" s="24"/>
      <c r="I226" s="24"/>
      <c r="J226" s="24"/>
      <c r="K226" s="24"/>
      <c r="L226" s="24"/>
      <c r="M226" s="24"/>
      <c r="N226" s="24"/>
      <c r="O226" s="124"/>
    </row>
    <row r="227" spans="2:15" ht="25.5" customHeight="1" thickTop="1" thickBot="1" x14ac:dyDescent="0.35">
      <c r="B227" s="24"/>
      <c r="C227" s="24"/>
      <c r="D227" s="38"/>
      <c r="E227" s="32"/>
      <c r="F227" s="44"/>
      <c r="G227" s="24"/>
      <c r="H227" s="24"/>
      <c r="I227" s="24"/>
      <c r="J227" s="24"/>
      <c r="K227" s="24"/>
      <c r="L227" s="24"/>
      <c r="M227" s="24"/>
      <c r="N227" s="24"/>
      <c r="O227" s="124"/>
    </row>
    <row r="228" spans="2:15" ht="25.5" customHeight="1" thickTop="1" thickBot="1" x14ac:dyDescent="0.35">
      <c r="B228" s="24"/>
      <c r="C228" s="24"/>
      <c r="D228" s="38"/>
      <c r="E228" s="32"/>
      <c r="F228" s="44"/>
      <c r="G228" s="24"/>
      <c r="H228" s="24"/>
      <c r="I228" s="24"/>
      <c r="J228" s="24"/>
      <c r="K228" s="24"/>
      <c r="L228" s="24"/>
      <c r="M228" s="24"/>
      <c r="N228" s="24"/>
      <c r="O228" s="124"/>
    </row>
    <row r="229" spans="2:15" ht="25.5" customHeight="1" thickTop="1" thickBot="1" x14ac:dyDescent="0.35">
      <c r="B229" s="24"/>
      <c r="C229" s="24"/>
      <c r="D229" s="38"/>
      <c r="E229" s="32"/>
      <c r="F229" s="44"/>
      <c r="G229" s="24"/>
      <c r="H229" s="24"/>
      <c r="I229" s="24"/>
      <c r="J229" s="24"/>
      <c r="K229" s="24"/>
      <c r="L229" s="24"/>
      <c r="M229" s="24"/>
      <c r="N229" s="24"/>
      <c r="O229" s="124"/>
    </row>
    <row r="230" spans="2:15" ht="25.5" customHeight="1" thickTop="1" thickBot="1" x14ac:dyDescent="0.35">
      <c r="B230" s="24"/>
      <c r="C230" s="24"/>
      <c r="D230" s="38"/>
      <c r="E230" s="32"/>
      <c r="F230" s="44"/>
      <c r="G230" s="24"/>
      <c r="H230" s="24"/>
      <c r="I230" s="24"/>
      <c r="J230" s="24"/>
      <c r="K230" s="24"/>
      <c r="L230" s="24"/>
      <c r="M230" s="24"/>
      <c r="N230" s="24"/>
      <c r="O230" s="124"/>
    </row>
    <row r="231" spans="2:15" ht="25.5" customHeight="1" thickTop="1" thickBot="1" x14ac:dyDescent="0.35">
      <c r="B231" s="24"/>
      <c r="C231" s="24"/>
      <c r="D231" s="38"/>
      <c r="E231" s="32"/>
      <c r="F231" s="44"/>
      <c r="G231" s="24"/>
      <c r="H231" s="24"/>
      <c r="I231" s="24"/>
      <c r="J231" s="24"/>
      <c r="K231" s="24"/>
      <c r="L231" s="24"/>
      <c r="M231" s="24"/>
      <c r="N231" s="24"/>
      <c r="O231" s="124"/>
    </row>
    <row r="232" spans="2:15" ht="25.5" customHeight="1" thickTop="1" thickBot="1" x14ac:dyDescent="0.35">
      <c r="B232" s="24"/>
      <c r="C232" s="24"/>
      <c r="D232" s="38"/>
      <c r="E232" s="32"/>
      <c r="F232" s="44"/>
      <c r="G232" s="24"/>
      <c r="H232" s="24"/>
      <c r="I232" s="24"/>
      <c r="J232" s="24"/>
      <c r="K232" s="24"/>
      <c r="L232" s="24"/>
      <c r="M232" s="24"/>
      <c r="N232" s="24"/>
      <c r="O232" s="124"/>
    </row>
    <row r="233" spans="2:15" ht="25.5" customHeight="1" thickTop="1" thickBot="1" x14ac:dyDescent="0.35">
      <c r="B233" s="24"/>
      <c r="C233" s="24"/>
      <c r="D233" s="38"/>
      <c r="E233" s="32"/>
      <c r="F233" s="44"/>
      <c r="G233" s="24"/>
      <c r="H233" s="24"/>
      <c r="I233" s="24"/>
      <c r="J233" s="24"/>
      <c r="K233" s="24"/>
      <c r="L233" s="24"/>
      <c r="M233" s="24"/>
      <c r="N233" s="24"/>
      <c r="O233" s="124"/>
    </row>
    <row r="234" spans="2:15" ht="25.5" customHeight="1" thickTop="1" thickBot="1" x14ac:dyDescent="0.35">
      <c r="B234" s="24"/>
      <c r="C234" s="24"/>
      <c r="D234" s="38"/>
      <c r="E234" s="32"/>
      <c r="F234" s="44"/>
      <c r="G234" s="24"/>
      <c r="H234" s="24"/>
      <c r="I234" s="24"/>
      <c r="J234" s="24"/>
      <c r="K234" s="24"/>
      <c r="L234" s="24"/>
      <c r="M234" s="24"/>
      <c r="N234" s="24"/>
      <c r="O234" s="124"/>
    </row>
    <row r="235" spans="2:15" ht="25.5" customHeight="1" thickTop="1" thickBot="1" x14ac:dyDescent="0.35">
      <c r="B235" s="24"/>
      <c r="C235" s="24"/>
      <c r="D235" s="38"/>
      <c r="E235" s="32"/>
      <c r="F235" s="44"/>
      <c r="G235" s="24"/>
      <c r="H235" s="24"/>
      <c r="I235" s="24"/>
      <c r="J235" s="24"/>
      <c r="K235" s="24"/>
      <c r="L235" s="24"/>
      <c r="M235" s="24"/>
      <c r="N235" s="24"/>
      <c r="O235" s="124"/>
    </row>
    <row r="236" spans="2:15" ht="25.5" customHeight="1" thickTop="1" thickBot="1" x14ac:dyDescent="0.35">
      <c r="B236" s="24"/>
      <c r="C236" s="24"/>
      <c r="D236" s="38"/>
      <c r="E236" s="32"/>
      <c r="F236" s="44"/>
      <c r="G236" s="24"/>
      <c r="H236" s="24"/>
      <c r="I236" s="24"/>
      <c r="J236" s="24"/>
      <c r="K236" s="24"/>
      <c r="L236" s="24"/>
      <c r="M236" s="24"/>
      <c r="N236" s="24"/>
      <c r="O236" s="124"/>
    </row>
    <row r="237" spans="2:15" ht="25.5" customHeight="1" thickTop="1" thickBot="1" x14ac:dyDescent="0.35">
      <c r="B237" s="24"/>
      <c r="C237" s="24"/>
      <c r="D237" s="38"/>
      <c r="E237" s="32"/>
      <c r="F237" s="44"/>
      <c r="G237" s="24"/>
      <c r="H237" s="24"/>
      <c r="I237" s="24"/>
      <c r="J237" s="24"/>
      <c r="K237" s="24"/>
      <c r="L237" s="24"/>
      <c r="M237" s="24"/>
      <c r="N237" s="24"/>
      <c r="O237" s="124"/>
    </row>
    <row r="238" spans="2:15" ht="25.5" customHeight="1" thickTop="1" thickBot="1" x14ac:dyDescent="0.35">
      <c r="B238" s="24"/>
      <c r="C238" s="24"/>
      <c r="D238" s="38"/>
      <c r="E238" s="32"/>
      <c r="F238" s="44"/>
      <c r="G238" s="24"/>
      <c r="H238" s="24"/>
      <c r="I238" s="24"/>
      <c r="J238" s="24"/>
      <c r="K238" s="24"/>
      <c r="L238" s="24"/>
      <c r="M238" s="24"/>
      <c r="N238" s="24"/>
      <c r="O238" s="124"/>
    </row>
    <row r="239" spans="2:15" ht="25.5" customHeight="1" thickTop="1" thickBot="1" x14ac:dyDescent="0.35">
      <c r="B239" s="24"/>
      <c r="C239" s="24"/>
      <c r="D239" s="38"/>
      <c r="E239" s="32"/>
      <c r="F239" s="44"/>
      <c r="G239" s="24"/>
      <c r="H239" s="24"/>
      <c r="I239" s="24"/>
      <c r="J239" s="24"/>
      <c r="K239" s="24"/>
      <c r="L239" s="24"/>
      <c r="M239" s="24"/>
      <c r="N239" s="24"/>
      <c r="O239" s="124"/>
    </row>
    <row r="240" spans="2:15" ht="25.5" customHeight="1" thickTop="1" thickBot="1" x14ac:dyDescent="0.35">
      <c r="B240" s="24"/>
      <c r="C240" s="24"/>
      <c r="D240" s="38"/>
      <c r="E240" s="32"/>
      <c r="F240" s="44"/>
      <c r="G240" s="24"/>
      <c r="H240" s="24"/>
      <c r="I240" s="24"/>
      <c r="J240" s="24"/>
      <c r="K240" s="24"/>
      <c r="L240" s="24"/>
      <c r="M240" s="24"/>
      <c r="N240" s="24"/>
      <c r="O240" s="124"/>
    </row>
    <row r="241" spans="2:15" ht="25.5" customHeight="1" thickTop="1" thickBot="1" x14ac:dyDescent="0.35">
      <c r="B241" s="24"/>
      <c r="C241" s="24"/>
      <c r="D241" s="38"/>
      <c r="E241" s="32"/>
      <c r="F241" s="44"/>
      <c r="G241" s="24"/>
      <c r="H241" s="24"/>
      <c r="I241" s="24"/>
      <c r="J241" s="24"/>
      <c r="K241" s="24"/>
      <c r="L241" s="24"/>
      <c r="M241" s="24"/>
      <c r="N241" s="24"/>
      <c r="O241" s="124"/>
    </row>
    <row r="242" spans="2:15" ht="25.5" customHeight="1" thickTop="1" thickBot="1" x14ac:dyDescent="0.35">
      <c r="B242" s="24"/>
      <c r="C242" s="24"/>
      <c r="D242" s="38"/>
      <c r="E242" s="32"/>
      <c r="F242" s="44"/>
      <c r="G242" s="24"/>
      <c r="H242" s="24"/>
      <c r="I242" s="24"/>
      <c r="J242" s="24"/>
      <c r="K242" s="24"/>
      <c r="L242" s="24"/>
      <c r="M242" s="24"/>
      <c r="N242" s="24"/>
      <c r="O242" s="124"/>
    </row>
    <row r="243" spans="2:15" ht="25.5" customHeight="1" thickTop="1" thickBot="1" x14ac:dyDescent="0.35">
      <c r="B243" s="24"/>
      <c r="C243" s="24"/>
      <c r="D243" s="38"/>
      <c r="E243" s="32"/>
      <c r="F243" s="44"/>
      <c r="G243" s="24"/>
      <c r="H243" s="24"/>
      <c r="I243" s="24"/>
      <c r="J243" s="24"/>
      <c r="K243" s="24"/>
      <c r="L243" s="24"/>
      <c r="M243" s="24"/>
      <c r="N243" s="24"/>
      <c r="O243" s="124"/>
    </row>
    <row r="244" spans="2:15" ht="25.5" customHeight="1" thickTop="1" thickBot="1" x14ac:dyDescent="0.35">
      <c r="B244" s="24"/>
      <c r="C244" s="24"/>
      <c r="D244" s="38"/>
      <c r="E244" s="32"/>
      <c r="F244" s="44"/>
      <c r="G244" s="24"/>
      <c r="H244" s="24"/>
      <c r="I244" s="24"/>
      <c r="J244" s="24"/>
      <c r="K244" s="24"/>
      <c r="L244" s="24"/>
      <c r="M244" s="24"/>
      <c r="N244" s="24"/>
      <c r="O244" s="124"/>
    </row>
    <row r="245" spans="2:15" ht="25.5" customHeight="1" thickTop="1" thickBot="1" x14ac:dyDescent="0.35">
      <c r="B245" s="24"/>
      <c r="C245" s="24"/>
      <c r="D245" s="38"/>
      <c r="E245" s="32"/>
      <c r="F245" s="44"/>
      <c r="G245" s="24"/>
      <c r="H245" s="24"/>
      <c r="I245" s="24"/>
      <c r="J245" s="24"/>
      <c r="K245" s="24"/>
      <c r="L245" s="24"/>
      <c r="M245" s="24"/>
      <c r="N245" s="24"/>
      <c r="O245" s="124"/>
    </row>
    <row r="246" spans="2:15" ht="25.5" customHeight="1" thickTop="1" thickBot="1" x14ac:dyDescent="0.35">
      <c r="B246" s="24"/>
      <c r="C246" s="24"/>
      <c r="D246" s="38"/>
      <c r="E246" s="32"/>
      <c r="F246" s="44"/>
      <c r="G246" s="24"/>
      <c r="H246" s="24"/>
      <c r="I246" s="24"/>
      <c r="J246" s="24"/>
      <c r="K246" s="24"/>
      <c r="L246" s="24"/>
      <c r="M246" s="24"/>
      <c r="N246" s="24"/>
      <c r="O246" s="124"/>
    </row>
    <row r="247" spans="2:15" ht="25.5" customHeight="1" thickTop="1" thickBot="1" x14ac:dyDescent="0.35">
      <c r="B247" s="24"/>
      <c r="C247" s="24"/>
      <c r="D247" s="38"/>
      <c r="E247" s="32"/>
      <c r="F247" s="44"/>
      <c r="G247" s="24"/>
      <c r="H247" s="24"/>
      <c r="I247" s="24"/>
      <c r="J247" s="24"/>
      <c r="K247" s="24"/>
      <c r="L247" s="24"/>
      <c r="M247" s="24"/>
      <c r="N247" s="24"/>
      <c r="O247" s="124"/>
    </row>
    <row r="248" spans="2:15" ht="25.5" customHeight="1" thickTop="1" thickBot="1" x14ac:dyDescent="0.35">
      <c r="B248" s="24"/>
      <c r="C248" s="24"/>
      <c r="D248" s="38"/>
      <c r="E248" s="32"/>
      <c r="F248" s="44"/>
      <c r="G248" s="24"/>
      <c r="H248" s="24"/>
      <c r="I248" s="24"/>
      <c r="J248" s="24"/>
      <c r="K248" s="24"/>
      <c r="L248" s="24"/>
      <c r="M248" s="24"/>
      <c r="N248" s="24"/>
      <c r="O248" s="124"/>
    </row>
    <row r="249" spans="2:15" ht="25.5" customHeight="1" thickTop="1" thickBot="1" x14ac:dyDescent="0.35">
      <c r="B249" s="24"/>
      <c r="C249" s="24"/>
      <c r="D249" s="38"/>
      <c r="E249" s="32"/>
      <c r="F249" s="44"/>
      <c r="G249" s="24"/>
      <c r="H249" s="24"/>
      <c r="I249" s="24"/>
      <c r="J249" s="24"/>
      <c r="K249" s="24"/>
      <c r="L249" s="24"/>
      <c r="M249" s="24"/>
      <c r="N249" s="24"/>
      <c r="O249" s="124"/>
    </row>
    <row r="250" spans="2:15" ht="25.5" customHeight="1" thickTop="1" thickBot="1" x14ac:dyDescent="0.35">
      <c r="B250" s="24"/>
      <c r="C250" s="24"/>
      <c r="D250" s="38"/>
      <c r="E250" s="32"/>
      <c r="F250" s="44"/>
      <c r="G250" s="24"/>
      <c r="H250" s="24"/>
      <c r="I250" s="24"/>
      <c r="J250" s="24"/>
      <c r="K250" s="24"/>
      <c r="L250" s="24"/>
      <c r="M250" s="24"/>
      <c r="N250" s="24"/>
      <c r="O250" s="124"/>
    </row>
    <row r="251" spans="2:15" ht="25.5" customHeight="1" thickTop="1" thickBot="1" x14ac:dyDescent="0.35">
      <c r="B251" s="24"/>
      <c r="C251" s="24"/>
      <c r="D251" s="38"/>
      <c r="E251" s="32"/>
      <c r="F251" s="44"/>
      <c r="G251" s="24"/>
      <c r="H251" s="24"/>
      <c r="I251" s="24"/>
      <c r="J251" s="24"/>
      <c r="K251" s="24"/>
      <c r="L251" s="24"/>
      <c r="M251" s="24"/>
      <c r="N251" s="24"/>
      <c r="O251" s="124"/>
    </row>
    <row r="252" spans="2:15" ht="25.5" customHeight="1" thickTop="1" thickBot="1" x14ac:dyDescent="0.35">
      <c r="B252" s="24"/>
      <c r="C252" s="24"/>
      <c r="D252" s="38"/>
      <c r="E252" s="32"/>
      <c r="F252" s="44"/>
      <c r="G252" s="24"/>
      <c r="H252" s="24"/>
      <c r="I252" s="24"/>
      <c r="J252" s="24"/>
      <c r="K252" s="24"/>
      <c r="L252" s="24"/>
      <c r="M252" s="24"/>
      <c r="N252" s="24"/>
      <c r="O252" s="124"/>
    </row>
    <row r="253" spans="2:15" ht="25.5" customHeight="1" thickTop="1" thickBot="1" x14ac:dyDescent="0.35">
      <c r="B253" s="24"/>
      <c r="C253" s="24"/>
      <c r="D253" s="38"/>
      <c r="E253" s="32"/>
      <c r="F253" s="44"/>
      <c r="G253" s="24"/>
      <c r="H253" s="24"/>
      <c r="I253" s="24"/>
      <c r="J253" s="24"/>
      <c r="K253" s="24"/>
      <c r="L253" s="24"/>
      <c r="M253" s="24"/>
      <c r="N253" s="24"/>
      <c r="O253" s="124"/>
    </row>
    <row r="254" spans="2:15" ht="25.5" customHeight="1" thickTop="1" thickBot="1" x14ac:dyDescent="0.35">
      <c r="B254" s="24"/>
      <c r="C254" s="24"/>
      <c r="D254" s="38"/>
      <c r="E254" s="32"/>
      <c r="F254" s="44"/>
      <c r="G254" s="24"/>
      <c r="H254" s="24"/>
      <c r="I254" s="24"/>
      <c r="J254" s="24"/>
      <c r="K254" s="24"/>
      <c r="L254" s="24"/>
      <c r="M254" s="24"/>
      <c r="N254" s="24"/>
      <c r="O254" s="124"/>
    </row>
    <row r="255" spans="2:15" ht="25.5" customHeight="1" thickTop="1" thickBot="1" x14ac:dyDescent="0.35">
      <c r="B255" s="24"/>
      <c r="C255" s="24"/>
      <c r="D255" s="38"/>
      <c r="E255" s="32"/>
      <c r="F255" s="44"/>
      <c r="G255" s="24"/>
      <c r="H255" s="24"/>
      <c r="I255" s="24"/>
      <c r="J255" s="24"/>
      <c r="K255" s="24"/>
      <c r="L255" s="24"/>
      <c r="M255" s="24"/>
      <c r="N255" s="24"/>
      <c r="O255" s="124"/>
    </row>
    <row r="256" spans="2:15" ht="25.5" customHeight="1" thickTop="1" thickBot="1" x14ac:dyDescent="0.35">
      <c r="B256" s="24"/>
      <c r="C256" s="24"/>
      <c r="D256" s="38"/>
      <c r="E256" s="32"/>
      <c r="F256" s="44"/>
      <c r="G256" s="24"/>
      <c r="H256" s="24"/>
      <c r="I256" s="24"/>
      <c r="J256" s="24"/>
      <c r="K256" s="24"/>
      <c r="L256" s="24"/>
      <c r="M256" s="24"/>
      <c r="N256" s="24"/>
      <c r="O256" s="124"/>
    </row>
    <row r="257" spans="2:15" ht="25.5" customHeight="1" thickTop="1" thickBot="1" x14ac:dyDescent="0.35">
      <c r="B257" s="24"/>
      <c r="C257" s="24"/>
      <c r="D257" s="38"/>
      <c r="E257" s="32"/>
      <c r="F257" s="44"/>
      <c r="G257" s="24"/>
      <c r="H257" s="24"/>
      <c r="I257" s="24"/>
      <c r="J257" s="24"/>
      <c r="K257" s="24"/>
      <c r="L257" s="24"/>
      <c r="M257" s="24"/>
      <c r="N257" s="24"/>
      <c r="O257" s="124"/>
    </row>
    <row r="258" spans="2:15" ht="25.5" customHeight="1" thickTop="1" thickBot="1" x14ac:dyDescent="0.35">
      <c r="B258" s="24"/>
      <c r="C258" s="24"/>
      <c r="D258" s="38"/>
      <c r="E258" s="32"/>
      <c r="F258" s="44"/>
      <c r="G258" s="24"/>
      <c r="H258" s="24"/>
      <c r="I258" s="24"/>
      <c r="J258" s="24"/>
      <c r="K258" s="24"/>
      <c r="L258" s="24"/>
      <c r="M258" s="24"/>
      <c r="N258" s="24"/>
      <c r="O258" s="124"/>
    </row>
    <row r="259" spans="2:15" ht="25.5" customHeight="1" thickTop="1" thickBot="1" x14ac:dyDescent="0.35">
      <c r="B259" s="24"/>
      <c r="C259" s="24"/>
      <c r="D259" s="38"/>
      <c r="E259" s="32"/>
      <c r="F259" s="44"/>
      <c r="G259" s="24"/>
      <c r="H259" s="24"/>
      <c r="I259" s="24"/>
      <c r="J259" s="24"/>
      <c r="K259" s="24"/>
      <c r="L259" s="24"/>
      <c r="M259" s="24"/>
      <c r="N259" s="24"/>
      <c r="O259" s="124"/>
    </row>
    <row r="260" spans="2:15" ht="25.5" customHeight="1" thickTop="1" thickBot="1" x14ac:dyDescent="0.35">
      <c r="B260" s="24"/>
      <c r="C260" s="24"/>
      <c r="D260" s="38"/>
      <c r="E260" s="32"/>
      <c r="F260" s="44"/>
      <c r="G260" s="24"/>
      <c r="H260" s="24"/>
      <c r="I260" s="24"/>
      <c r="J260" s="24"/>
      <c r="K260" s="24"/>
      <c r="L260" s="24"/>
      <c r="M260" s="24"/>
      <c r="N260" s="24"/>
      <c r="O260" s="124"/>
    </row>
    <row r="261" spans="2:15" ht="25.5" customHeight="1" thickTop="1" thickBot="1" x14ac:dyDescent="0.35">
      <c r="B261" s="24"/>
      <c r="C261" s="24"/>
      <c r="D261" s="38"/>
      <c r="E261" s="32"/>
      <c r="F261" s="44"/>
      <c r="G261" s="24"/>
      <c r="H261" s="24"/>
      <c r="I261" s="24"/>
      <c r="J261" s="24"/>
      <c r="K261" s="24"/>
      <c r="L261" s="24"/>
      <c r="M261" s="24"/>
      <c r="N261" s="24"/>
      <c r="O261" s="124"/>
    </row>
    <row r="262" spans="2:15" ht="25.5" customHeight="1" thickTop="1" thickBot="1" x14ac:dyDescent="0.35">
      <c r="B262" s="24"/>
      <c r="C262" s="24"/>
      <c r="D262" s="38"/>
      <c r="E262" s="32"/>
      <c r="F262" s="44"/>
      <c r="G262" s="24"/>
      <c r="H262" s="24"/>
      <c r="I262" s="24"/>
      <c r="J262" s="24"/>
      <c r="K262" s="24"/>
      <c r="L262" s="24"/>
      <c r="M262" s="24"/>
      <c r="N262" s="24"/>
      <c r="O262" s="124"/>
    </row>
    <row r="263" spans="2:15" ht="25.5" customHeight="1" thickTop="1" thickBot="1" x14ac:dyDescent="0.35">
      <c r="B263" s="24"/>
      <c r="C263" s="24"/>
      <c r="D263" s="38"/>
      <c r="E263" s="32"/>
      <c r="F263" s="44"/>
      <c r="G263" s="24"/>
      <c r="H263" s="24"/>
      <c r="I263" s="24"/>
      <c r="J263" s="24"/>
      <c r="K263" s="24"/>
      <c r="L263" s="24"/>
      <c r="M263" s="24"/>
      <c r="N263" s="24"/>
      <c r="O263" s="124"/>
    </row>
    <row r="264" spans="2:15" ht="25.5" customHeight="1" thickTop="1" thickBot="1" x14ac:dyDescent="0.35">
      <c r="B264" s="24"/>
      <c r="C264" s="24"/>
      <c r="D264" s="38"/>
      <c r="E264" s="32"/>
      <c r="F264" s="44"/>
      <c r="G264" s="24"/>
      <c r="H264" s="24"/>
      <c r="I264" s="24"/>
      <c r="J264" s="24"/>
      <c r="K264" s="24"/>
      <c r="L264" s="24"/>
      <c r="M264" s="24"/>
      <c r="N264" s="24"/>
      <c r="O264" s="124"/>
    </row>
    <row r="265" spans="2:15" ht="25.5" customHeight="1" thickTop="1" thickBot="1" x14ac:dyDescent="0.35">
      <c r="B265" s="24"/>
      <c r="C265" s="24"/>
      <c r="D265" s="38"/>
      <c r="E265" s="32"/>
      <c r="F265" s="44"/>
      <c r="G265" s="24"/>
      <c r="H265" s="24"/>
      <c r="I265" s="24"/>
      <c r="J265" s="24"/>
      <c r="K265" s="24"/>
      <c r="L265" s="24"/>
      <c r="M265" s="24"/>
      <c r="N265" s="24"/>
      <c r="O265" s="124"/>
    </row>
    <row r="266" spans="2:15" ht="25.5" customHeight="1" thickTop="1" thickBot="1" x14ac:dyDescent="0.35">
      <c r="B266" s="24"/>
      <c r="C266" s="24"/>
      <c r="D266" s="38"/>
      <c r="E266" s="32"/>
      <c r="F266" s="44"/>
      <c r="G266" s="24"/>
      <c r="H266" s="24"/>
      <c r="I266" s="24"/>
      <c r="J266" s="24"/>
      <c r="K266" s="24"/>
      <c r="L266" s="24"/>
      <c r="M266" s="24"/>
      <c r="N266" s="24"/>
      <c r="O266" s="124"/>
    </row>
    <row r="267" spans="2:15" ht="25.5" customHeight="1" thickTop="1" thickBot="1" x14ac:dyDescent="0.35">
      <c r="B267" s="24"/>
      <c r="C267" s="24"/>
      <c r="D267" s="38"/>
      <c r="E267" s="32"/>
      <c r="F267" s="44"/>
      <c r="G267" s="24"/>
      <c r="H267" s="24"/>
      <c r="I267" s="24"/>
      <c r="J267" s="24"/>
      <c r="K267" s="24"/>
      <c r="L267" s="24"/>
      <c r="M267" s="24"/>
      <c r="N267" s="24"/>
      <c r="O267" s="124"/>
    </row>
    <row r="268" spans="2:15" ht="25.5" customHeight="1" thickTop="1" thickBot="1" x14ac:dyDescent="0.35">
      <c r="B268" s="24"/>
      <c r="C268" s="24"/>
      <c r="D268" s="38"/>
      <c r="E268" s="32"/>
      <c r="F268" s="44"/>
      <c r="G268" s="24"/>
      <c r="H268" s="24"/>
      <c r="I268" s="24"/>
      <c r="J268" s="24"/>
      <c r="K268" s="24"/>
      <c r="L268" s="24"/>
      <c r="M268" s="24"/>
      <c r="N268" s="24"/>
      <c r="O268" s="124"/>
    </row>
    <row r="269" spans="2:15" ht="25.5" customHeight="1" thickTop="1" thickBot="1" x14ac:dyDescent="0.35">
      <c r="B269" s="24"/>
      <c r="C269" s="24"/>
      <c r="D269" s="38"/>
      <c r="E269" s="32"/>
      <c r="F269" s="44"/>
      <c r="G269" s="24"/>
      <c r="H269" s="24"/>
      <c r="I269" s="24"/>
      <c r="J269" s="24"/>
      <c r="K269" s="24"/>
      <c r="L269" s="24"/>
      <c r="M269" s="24"/>
      <c r="N269" s="24"/>
      <c r="O269" s="124"/>
    </row>
    <row r="270" spans="2:15" ht="25.5" customHeight="1" thickTop="1" thickBot="1" x14ac:dyDescent="0.35">
      <c r="B270" s="24"/>
      <c r="C270" s="24"/>
      <c r="D270" s="38"/>
      <c r="E270" s="32"/>
      <c r="F270" s="44"/>
      <c r="G270" s="24"/>
      <c r="H270" s="24"/>
      <c r="I270" s="24"/>
      <c r="J270" s="24"/>
      <c r="K270" s="24"/>
      <c r="L270" s="24"/>
      <c r="M270" s="24"/>
      <c r="N270" s="24"/>
      <c r="O270" s="124"/>
    </row>
    <row r="271" spans="2:15" ht="25.5" customHeight="1" thickTop="1" thickBot="1" x14ac:dyDescent="0.35">
      <c r="B271" s="24"/>
      <c r="C271" s="24"/>
      <c r="D271" s="38"/>
      <c r="E271" s="32"/>
      <c r="F271" s="44"/>
      <c r="G271" s="24"/>
      <c r="H271" s="24"/>
      <c r="I271" s="24"/>
      <c r="J271" s="24"/>
      <c r="K271" s="24"/>
      <c r="L271" s="24"/>
      <c r="M271" s="24"/>
      <c r="N271" s="24"/>
      <c r="O271" s="124"/>
    </row>
    <row r="272" spans="2:15" ht="25.5" customHeight="1" thickTop="1" thickBot="1" x14ac:dyDescent="0.35">
      <c r="B272" s="24"/>
      <c r="C272" s="24"/>
      <c r="D272" s="38"/>
      <c r="E272" s="32"/>
      <c r="F272" s="44"/>
      <c r="G272" s="24"/>
      <c r="H272" s="24"/>
      <c r="I272" s="24"/>
      <c r="J272" s="24"/>
      <c r="K272" s="24"/>
      <c r="L272" s="24"/>
      <c r="M272" s="24"/>
      <c r="N272" s="24"/>
      <c r="O272" s="124"/>
    </row>
    <row r="273" spans="2:15" ht="25.5" customHeight="1" thickTop="1" thickBot="1" x14ac:dyDescent="0.35">
      <c r="B273" s="24"/>
      <c r="C273" s="24"/>
      <c r="D273" s="38"/>
      <c r="E273" s="32"/>
      <c r="F273" s="44"/>
      <c r="G273" s="24"/>
      <c r="H273" s="24"/>
      <c r="I273" s="24"/>
      <c r="J273" s="24"/>
      <c r="K273" s="24"/>
      <c r="L273" s="24"/>
      <c r="M273" s="24"/>
      <c r="N273" s="24"/>
      <c r="O273" s="124"/>
    </row>
    <row r="274" spans="2:15" ht="25.5" customHeight="1" thickTop="1" thickBot="1" x14ac:dyDescent="0.35">
      <c r="B274" s="24"/>
      <c r="C274" s="24"/>
      <c r="D274" s="38"/>
      <c r="E274" s="32"/>
      <c r="F274" s="44"/>
      <c r="G274" s="24"/>
      <c r="H274" s="24"/>
      <c r="I274" s="24"/>
      <c r="J274" s="24"/>
      <c r="K274" s="24"/>
      <c r="L274" s="24"/>
      <c r="M274" s="24"/>
      <c r="N274" s="24"/>
      <c r="O274" s="124"/>
    </row>
    <row r="275" spans="2:15" ht="25.5" customHeight="1" thickTop="1" thickBot="1" x14ac:dyDescent="0.35">
      <c r="B275" s="24"/>
      <c r="C275" s="24"/>
      <c r="D275" s="38"/>
      <c r="E275" s="32"/>
      <c r="F275" s="44"/>
      <c r="G275" s="24"/>
      <c r="H275" s="24"/>
      <c r="I275" s="24"/>
      <c r="J275" s="24"/>
      <c r="K275" s="24"/>
      <c r="L275" s="24"/>
      <c r="M275" s="24"/>
      <c r="N275" s="24"/>
      <c r="O275" s="124"/>
    </row>
    <row r="276" spans="2:15" ht="25.5" customHeight="1" thickTop="1" thickBot="1" x14ac:dyDescent="0.35">
      <c r="B276" s="24"/>
      <c r="C276" s="24"/>
      <c r="D276" s="38"/>
      <c r="E276" s="32"/>
      <c r="F276" s="44"/>
      <c r="G276" s="24"/>
      <c r="H276" s="24"/>
      <c r="I276" s="24"/>
      <c r="J276" s="24"/>
      <c r="K276" s="24"/>
      <c r="L276" s="24"/>
      <c r="M276" s="24"/>
      <c r="N276" s="24"/>
      <c r="O276" s="124"/>
    </row>
    <row r="277" spans="2:15" ht="25.5" customHeight="1" thickTop="1" thickBot="1" x14ac:dyDescent="0.35">
      <c r="B277" s="24"/>
      <c r="C277" s="24"/>
      <c r="D277" s="38"/>
      <c r="E277" s="32"/>
      <c r="F277" s="44"/>
      <c r="G277" s="24"/>
      <c r="H277" s="24"/>
      <c r="I277" s="24"/>
      <c r="J277" s="24"/>
      <c r="K277" s="24"/>
      <c r="L277" s="24"/>
      <c r="M277" s="24"/>
      <c r="N277" s="24"/>
      <c r="O277" s="124"/>
    </row>
    <row r="278" spans="2:15" ht="25.5" customHeight="1" thickTop="1" thickBot="1" x14ac:dyDescent="0.35">
      <c r="B278" s="24"/>
      <c r="C278" s="24"/>
      <c r="D278" s="38"/>
      <c r="E278" s="32"/>
      <c r="F278" s="44"/>
      <c r="G278" s="24"/>
      <c r="H278" s="24"/>
      <c r="I278" s="24"/>
      <c r="J278" s="24"/>
      <c r="K278" s="24"/>
      <c r="L278" s="24"/>
      <c r="M278" s="24"/>
      <c r="N278" s="24"/>
      <c r="O278" s="124"/>
    </row>
    <row r="279" spans="2:15" ht="25.5" customHeight="1" thickTop="1" thickBot="1" x14ac:dyDescent="0.35">
      <c r="B279" s="24"/>
      <c r="C279" s="24"/>
      <c r="D279" s="38"/>
      <c r="E279" s="32"/>
      <c r="F279" s="44"/>
      <c r="G279" s="24"/>
      <c r="H279" s="24"/>
      <c r="I279" s="24"/>
      <c r="J279" s="24"/>
      <c r="K279" s="24"/>
      <c r="L279" s="24"/>
      <c r="M279" s="24"/>
      <c r="N279" s="24"/>
      <c r="O279" s="124"/>
    </row>
    <row r="280" spans="2:15" ht="25.5" customHeight="1" thickTop="1" thickBot="1" x14ac:dyDescent="0.35">
      <c r="B280" s="24"/>
      <c r="C280" s="24"/>
      <c r="D280" s="38"/>
      <c r="E280" s="32"/>
      <c r="F280" s="44"/>
      <c r="G280" s="24"/>
      <c r="H280" s="24"/>
      <c r="I280" s="24"/>
      <c r="J280" s="24"/>
      <c r="K280" s="24"/>
      <c r="L280" s="24"/>
      <c r="M280" s="24"/>
      <c r="N280" s="24"/>
      <c r="O280" s="124"/>
    </row>
    <row r="281" spans="2:15" ht="25.5" customHeight="1" thickTop="1" thickBot="1" x14ac:dyDescent="0.35">
      <c r="B281" s="24"/>
      <c r="C281" s="24"/>
      <c r="D281" s="38"/>
      <c r="E281" s="32"/>
      <c r="F281" s="44"/>
      <c r="G281" s="24"/>
      <c r="H281" s="24"/>
      <c r="I281" s="24"/>
      <c r="J281" s="24"/>
      <c r="K281" s="24"/>
      <c r="L281" s="24"/>
      <c r="M281" s="24"/>
      <c r="N281" s="24"/>
      <c r="O281" s="124"/>
    </row>
    <row r="282" spans="2:15" ht="25.5" customHeight="1" thickTop="1" thickBot="1" x14ac:dyDescent="0.35">
      <c r="B282" s="24"/>
      <c r="C282" s="24"/>
      <c r="D282" s="38"/>
      <c r="E282" s="32"/>
      <c r="F282" s="44"/>
      <c r="G282" s="24"/>
      <c r="H282" s="24"/>
      <c r="I282" s="24"/>
      <c r="J282" s="24"/>
      <c r="K282" s="24"/>
      <c r="L282" s="24"/>
      <c r="M282" s="24"/>
      <c r="N282" s="24"/>
      <c r="O282" s="124"/>
    </row>
    <row r="283" spans="2:15" ht="25.5" customHeight="1" thickTop="1" thickBot="1" x14ac:dyDescent="0.35">
      <c r="B283" s="24"/>
      <c r="C283" s="24"/>
      <c r="D283" s="38"/>
      <c r="E283" s="32"/>
      <c r="F283" s="44"/>
      <c r="G283" s="24"/>
      <c r="H283" s="24"/>
      <c r="I283" s="24"/>
      <c r="J283" s="24"/>
      <c r="K283" s="24"/>
      <c r="L283" s="24"/>
      <c r="M283" s="24"/>
      <c r="N283" s="24"/>
      <c r="O283" s="124"/>
    </row>
    <row r="284" spans="2:15" ht="25.5" customHeight="1" thickTop="1" thickBot="1" x14ac:dyDescent="0.35">
      <c r="B284" s="24"/>
      <c r="C284" s="24"/>
      <c r="D284" s="38"/>
      <c r="E284" s="32"/>
      <c r="F284" s="44"/>
      <c r="G284" s="24"/>
      <c r="H284" s="24"/>
      <c r="I284" s="24"/>
      <c r="J284" s="24"/>
      <c r="K284" s="24"/>
      <c r="L284" s="24"/>
      <c r="M284" s="24"/>
      <c r="N284" s="24"/>
      <c r="O284" s="124"/>
    </row>
    <row r="285" spans="2:15" ht="25.5" customHeight="1" thickTop="1" thickBot="1" x14ac:dyDescent="0.35">
      <c r="B285" s="24"/>
      <c r="C285" s="24"/>
      <c r="D285" s="38"/>
      <c r="E285" s="32"/>
      <c r="F285" s="44"/>
      <c r="G285" s="24"/>
      <c r="H285" s="24"/>
      <c r="I285" s="24"/>
      <c r="J285" s="24"/>
      <c r="K285" s="24"/>
      <c r="L285" s="24"/>
      <c r="M285" s="24"/>
      <c r="N285" s="24"/>
      <c r="O285" s="124"/>
    </row>
    <row r="286" spans="2:15" ht="25.5" customHeight="1" thickTop="1" thickBot="1" x14ac:dyDescent="0.35">
      <c r="B286" s="24"/>
      <c r="C286" s="24"/>
      <c r="D286" s="38"/>
      <c r="E286" s="32"/>
      <c r="F286" s="44"/>
      <c r="G286" s="24"/>
      <c r="H286" s="24"/>
      <c r="I286" s="24"/>
      <c r="J286" s="24"/>
      <c r="K286" s="24"/>
      <c r="L286" s="24"/>
      <c r="M286" s="24"/>
      <c r="N286" s="24"/>
      <c r="O286" s="124"/>
    </row>
    <row r="287" spans="2:15" ht="25.5" customHeight="1" thickTop="1" thickBot="1" x14ac:dyDescent="0.35">
      <c r="B287" s="24"/>
      <c r="C287" s="24"/>
      <c r="D287" s="38"/>
      <c r="E287" s="32"/>
      <c r="F287" s="44"/>
      <c r="G287" s="24"/>
      <c r="H287" s="24"/>
      <c r="I287" s="24"/>
      <c r="J287" s="24"/>
      <c r="K287" s="24"/>
      <c r="L287" s="24"/>
      <c r="M287" s="24"/>
      <c r="N287" s="24"/>
      <c r="O287" s="124"/>
    </row>
    <row r="288" spans="2:15" ht="25.5" customHeight="1" thickTop="1" thickBot="1" x14ac:dyDescent="0.35">
      <c r="B288" s="24"/>
      <c r="C288" s="24"/>
      <c r="D288" s="38"/>
      <c r="E288" s="32"/>
      <c r="F288" s="44"/>
      <c r="G288" s="24"/>
      <c r="H288" s="24"/>
      <c r="I288" s="24"/>
      <c r="J288" s="24"/>
      <c r="K288" s="24"/>
      <c r="L288" s="24"/>
      <c r="M288" s="24"/>
      <c r="N288" s="24"/>
      <c r="O288" s="124"/>
    </row>
    <row r="289" spans="2:15" ht="25.5" customHeight="1" thickTop="1" thickBot="1" x14ac:dyDescent="0.35">
      <c r="B289" s="24"/>
      <c r="C289" s="24"/>
      <c r="D289" s="38"/>
      <c r="E289" s="32"/>
      <c r="F289" s="44"/>
      <c r="G289" s="24"/>
      <c r="H289" s="24"/>
      <c r="I289" s="24"/>
      <c r="J289" s="24"/>
      <c r="K289" s="24"/>
      <c r="L289" s="24"/>
      <c r="M289" s="24"/>
      <c r="N289" s="24"/>
      <c r="O289" s="124"/>
    </row>
    <row r="290" spans="2:15" ht="25.5" customHeight="1" thickTop="1" thickBot="1" x14ac:dyDescent="0.35">
      <c r="B290" s="24"/>
      <c r="C290" s="24"/>
      <c r="D290" s="38"/>
      <c r="E290" s="32"/>
      <c r="F290" s="44"/>
      <c r="G290" s="24"/>
      <c r="H290" s="24"/>
      <c r="I290" s="24"/>
      <c r="J290" s="24"/>
      <c r="K290" s="24"/>
      <c r="L290" s="24"/>
      <c r="M290" s="24"/>
      <c r="N290" s="24"/>
      <c r="O290" s="124"/>
    </row>
    <row r="291" spans="2:15" ht="25.5" customHeight="1" thickTop="1" thickBot="1" x14ac:dyDescent="0.35">
      <c r="B291" s="24"/>
      <c r="C291" s="24"/>
      <c r="D291" s="38"/>
      <c r="E291" s="32"/>
      <c r="F291" s="44"/>
      <c r="G291" s="24"/>
      <c r="H291" s="24"/>
      <c r="I291" s="24"/>
      <c r="J291" s="24"/>
      <c r="K291" s="24"/>
      <c r="L291" s="24"/>
      <c r="M291" s="24"/>
      <c r="N291" s="24"/>
      <c r="O291" s="124"/>
    </row>
    <row r="292" spans="2:15" ht="25.5" customHeight="1" thickTop="1" thickBot="1" x14ac:dyDescent="0.35">
      <c r="B292" s="24"/>
      <c r="C292" s="24"/>
      <c r="D292" s="38"/>
      <c r="E292" s="32"/>
      <c r="F292" s="44"/>
      <c r="G292" s="24"/>
      <c r="H292" s="24"/>
      <c r="I292" s="24"/>
      <c r="J292" s="24"/>
      <c r="K292" s="24"/>
      <c r="L292" s="24"/>
      <c r="M292" s="24"/>
      <c r="N292" s="24"/>
      <c r="O292" s="124"/>
    </row>
    <row r="293" spans="2:15" ht="25.5" customHeight="1" thickTop="1" thickBot="1" x14ac:dyDescent="0.35">
      <c r="B293" s="24"/>
      <c r="C293" s="24"/>
      <c r="D293" s="38"/>
      <c r="E293" s="32"/>
      <c r="F293" s="44"/>
      <c r="G293" s="24"/>
      <c r="H293" s="24"/>
      <c r="I293" s="24"/>
      <c r="J293" s="24"/>
      <c r="K293" s="24"/>
      <c r="L293" s="24"/>
      <c r="M293" s="24"/>
      <c r="N293" s="24"/>
      <c r="O293" s="124"/>
    </row>
    <row r="294" spans="2:15" ht="25.5" customHeight="1" thickTop="1" thickBot="1" x14ac:dyDescent="0.35">
      <c r="B294" s="24"/>
      <c r="C294" s="24"/>
      <c r="D294" s="38"/>
      <c r="E294" s="32"/>
      <c r="F294" s="44"/>
      <c r="G294" s="24"/>
      <c r="H294" s="24"/>
      <c r="I294" s="24"/>
      <c r="J294" s="24"/>
      <c r="K294" s="24"/>
      <c r="L294" s="24"/>
      <c r="M294" s="24"/>
      <c r="N294" s="24"/>
      <c r="O294" s="124"/>
    </row>
    <row r="295" spans="2:15" ht="25.5" customHeight="1" thickTop="1" thickBot="1" x14ac:dyDescent="0.35">
      <c r="B295" s="24"/>
      <c r="C295" s="24"/>
      <c r="D295" s="38"/>
      <c r="E295" s="32"/>
      <c r="F295" s="44"/>
      <c r="G295" s="24"/>
      <c r="H295" s="24"/>
      <c r="I295" s="24"/>
      <c r="J295" s="24"/>
      <c r="K295" s="24"/>
      <c r="L295" s="24"/>
      <c r="M295" s="24"/>
      <c r="N295" s="24"/>
      <c r="O295" s="124"/>
    </row>
    <row r="296" spans="2:15" ht="25.5" customHeight="1" thickTop="1" thickBot="1" x14ac:dyDescent="0.35">
      <c r="B296" s="24"/>
      <c r="C296" s="24"/>
      <c r="D296" s="38"/>
      <c r="E296" s="32"/>
      <c r="F296" s="44"/>
      <c r="G296" s="24"/>
      <c r="H296" s="24"/>
      <c r="I296" s="24"/>
      <c r="J296" s="24"/>
      <c r="K296" s="24"/>
      <c r="L296" s="24"/>
      <c r="M296" s="24"/>
      <c r="N296" s="24"/>
      <c r="O296" s="124"/>
    </row>
    <row r="297" spans="2:15" ht="25.5" customHeight="1" thickTop="1" thickBot="1" x14ac:dyDescent="0.35">
      <c r="B297" s="24"/>
      <c r="C297" s="24"/>
      <c r="D297" s="38"/>
      <c r="E297" s="32"/>
      <c r="F297" s="44"/>
      <c r="G297" s="24"/>
      <c r="H297" s="24"/>
      <c r="I297" s="24"/>
      <c r="J297" s="24"/>
      <c r="K297" s="24"/>
      <c r="L297" s="24"/>
      <c r="M297" s="24"/>
      <c r="N297" s="24"/>
      <c r="O297" s="124"/>
    </row>
    <row r="298" spans="2:15" ht="25.5" customHeight="1" thickTop="1" thickBot="1" x14ac:dyDescent="0.35">
      <c r="B298" s="24"/>
      <c r="C298" s="24"/>
      <c r="D298" s="38"/>
      <c r="E298" s="32"/>
      <c r="F298" s="44"/>
      <c r="G298" s="24"/>
      <c r="H298" s="24"/>
      <c r="I298" s="24"/>
      <c r="J298" s="24"/>
      <c r="K298" s="24"/>
      <c r="L298" s="24"/>
      <c r="M298" s="24"/>
      <c r="N298" s="24"/>
      <c r="O298" s="124"/>
    </row>
    <row r="299" spans="2:15" ht="25.5" customHeight="1" thickTop="1" thickBot="1" x14ac:dyDescent="0.35">
      <c r="B299" s="24"/>
      <c r="C299" s="24"/>
      <c r="D299" s="38"/>
      <c r="E299" s="32"/>
      <c r="F299" s="44"/>
      <c r="G299" s="24"/>
      <c r="H299" s="24"/>
      <c r="I299" s="24"/>
      <c r="J299" s="24"/>
      <c r="K299" s="24"/>
      <c r="L299" s="24"/>
      <c r="M299" s="24"/>
      <c r="N299" s="24"/>
      <c r="O299" s="124"/>
    </row>
    <row r="300" spans="2:15" ht="25.5" customHeight="1" thickTop="1" thickBot="1" x14ac:dyDescent="0.35">
      <c r="B300" s="24"/>
      <c r="C300" s="24"/>
      <c r="D300" s="38"/>
      <c r="E300" s="32"/>
      <c r="F300" s="44"/>
      <c r="G300" s="24"/>
      <c r="H300" s="24"/>
      <c r="I300" s="24"/>
      <c r="J300" s="24"/>
      <c r="K300" s="24"/>
      <c r="L300" s="24"/>
      <c r="M300" s="24"/>
      <c r="N300" s="24"/>
      <c r="O300" s="124"/>
    </row>
    <row r="301" spans="2:15" ht="25.5" customHeight="1" thickTop="1" thickBot="1" x14ac:dyDescent="0.35">
      <c r="B301" s="24"/>
      <c r="C301" s="24"/>
      <c r="D301" s="38"/>
      <c r="E301" s="32"/>
      <c r="F301" s="44"/>
      <c r="G301" s="24"/>
      <c r="H301" s="24"/>
      <c r="I301" s="24"/>
      <c r="J301" s="24"/>
      <c r="K301" s="24"/>
      <c r="L301" s="24"/>
      <c r="M301" s="24"/>
      <c r="N301" s="24"/>
      <c r="O301" s="124"/>
    </row>
    <row r="302" spans="2:15" ht="25.5" customHeight="1" thickTop="1" thickBot="1" x14ac:dyDescent="0.35">
      <c r="B302" s="24"/>
      <c r="C302" s="24"/>
      <c r="D302" s="38"/>
      <c r="E302" s="32"/>
      <c r="F302" s="44"/>
      <c r="G302" s="24"/>
      <c r="H302" s="24"/>
      <c r="I302" s="24"/>
      <c r="J302" s="24"/>
      <c r="K302" s="24"/>
      <c r="L302" s="24"/>
      <c r="M302" s="24"/>
      <c r="N302" s="24"/>
      <c r="O302" s="124"/>
    </row>
    <row r="303" spans="2:15" ht="25.5" customHeight="1" thickTop="1" thickBot="1" x14ac:dyDescent="0.35">
      <c r="B303" s="24"/>
      <c r="C303" s="24"/>
      <c r="D303" s="38"/>
      <c r="E303" s="32"/>
      <c r="F303" s="44"/>
      <c r="G303" s="24"/>
      <c r="H303" s="24"/>
      <c r="I303" s="24"/>
      <c r="J303" s="24"/>
      <c r="K303" s="24"/>
      <c r="L303" s="24"/>
      <c r="M303" s="24"/>
      <c r="N303" s="24"/>
      <c r="O303" s="124"/>
    </row>
    <row r="304" spans="2:15" ht="25.5" customHeight="1" thickTop="1" thickBot="1" x14ac:dyDescent="0.35">
      <c r="B304" s="24"/>
      <c r="C304" s="24"/>
      <c r="D304" s="38"/>
      <c r="E304" s="32"/>
      <c r="F304" s="44"/>
      <c r="G304" s="24"/>
      <c r="H304" s="24"/>
      <c r="I304" s="24"/>
      <c r="J304" s="24"/>
      <c r="K304" s="24"/>
      <c r="L304" s="24"/>
      <c r="M304" s="24"/>
      <c r="N304" s="24"/>
      <c r="O304" s="124"/>
    </row>
    <row r="305" spans="2:15" ht="25.5" customHeight="1" thickTop="1" thickBot="1" x14ac:dyDescent="0.35">
      <c r="B305" s="24"/>
      <c r="C305" s="24"/>
      <c r="D305" s="38"/>
      <c r="E305" s="32"/>
      <c r="F305" s="44"/>
      <c r="G305" s="24"/>
      <c r="H305" s="24"/>
      <c r="I305" s="24"/>
      <c r="J305" s="24"/>
      <c r="K305" s="24"/>
      <c r="L305" s="24"/>
      <c r="M305" s="24"/>
      <c r="N305" s="24"/>
      <c r="O305" s="124"/>
    </row>
    <row r="306" spans="2:15" ht="25.5" customHeight="1" thickTop="1" x14ac:dyDescent="0.3"/>
  </sheetData>
  <sheetProtection algorithmName="SHA-512" hashValue="XNyV213kfIpK6EXhGJnAEL0VPrKZxKc6OhxWiT3NCPBGZgCTK4LFVqYHKOH5h5DodKtkM/XTSe1w+nW5dlpdcw==" saltValue="xbF/bS3Hm2BEqJU0AWHXyg==" spinCount="100000" sheet="1" selectLockedCells="1"/>
  <mergeCells count="1">
    <mergeCell ref="A1:O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B9623-9F7A-4FC9-8B12-1D0B67FD8515}">
  <sheetPr codeName="ورقة4"/>
  <dimension ref="A1:M53"/>
  <sheetViews>
    <sheetView rightToLeft="1" zoomScaleNormal="100" workbookViewId="0">
      <selection activeCell="C9" sqref="C9:D9"/>
    </sheetView>
  </sheetViews>
  <sheetFormatPr defaultRowHeight="20" customHeight="1" x14ac:dyDescent="0.3"/>
  <cols>
    <col min="1" max="1" width="5.58203125" style="139" customWidth="1"/>
    <col min="2" max="2" width="13.58203125" style="139" customWidth="1"/>
    <col min="3" max="3" width="20.58203125" style="139" customWidth="1"/>
    <col min="4" max="5" width="15.58203125" style="139" customWidth="1"/>
    <col min="6" max="6" width="5.58203125" style="139" customWidth="1"/>
    <col min="7" max="8" width="8.6640625" style="139"/>
    <col min="9" max="9" width="5.58203125" style="139" customWidth="1"/>
    <col min="10" max="16384" width="8.6640625" style="139"/>
  </cols>
  <sheetData>
    <row r="1" spans="1:13" ht="30" customHeight="1" thickTop="1" x14ac:dyDescent="0.3">
      <c r="A1" s="161" t="s">
        <v>58</v>
      </c>
      <c r="B1" s="162"/>
      <c r="C1" s="136"/>
      <c r="D1" s="137"/>
      <c r="E1" s="137"/>
      <c r="F1" s="138"/>
    </row>
    <row r="2" spans="1:13" ht="30" customHeight="1" x14ac:dyDescent="0.3">
      <c r="A2" s="163"/>
      <c r="B2" s="164"/>
      <c r="C2" s="140"/>
      <c r="D2" s="141"/>
      <c r="E2" s="151" t="s">
        <v>65</v>
      </c>
      <c r="F2" s="142"/>
    </row>
    <row r="3" spans="1:13" ht="30" customHeight="1" x14ac:dyDescent="0.3">
      <c r="A3" s="163"/>
      <c r="B3" s="164"/>
      <c r="C3" s="140"/>
      <c r="D3" s="141"/>
      <c r="E3" s="152" t="s">
        <v>66</v>
      </c>
      <c r="F3" s="142"/>
    </row>
    <row r="4" spans="1:13" ht="30" customHeight="1" thickBot="1" x14ac:dyDescent="0.35">
      <c r="A4" s="165"/>
      <c r="B4" s="166"/>
      <c r="C4" s="169" t="s">
        <v>61</v>
      </c>
      <c r="D4" s="169"/>
      <c r="E4" s="150"/>
      <c r="F4" s="143"/>
      <c r="M4" s="144"/>
    </row>
    <row r="5" spans="1:13" ht="25" customHeight="1" thickTop="1" x14ac:dyDescent="0.3">
      <c r="A5" s="145"/>
      <c r="B5" s="141"/>
      <c r="C5" s="141"/>
      <c r="D5" s="141"/>
      <c r="E5" s="141"/>
      <c r="F5" s="142"/>
    </row>
    <row r="6" spans="1:13" ht="25" customHeight="1" x14ac:dyDescent="0.3">
      <c r="A6" s="145"/>
      <c r="B6" s="141"/>
      <c r="C6" s="135" t="s">
        <v>52</v>
      </c>
      <c r="D6" s="141"/>
      <c r="E6" s="141"/>
      <c r="F6" s="142"/>
    </row>
    <row r="7" spans="1:13" ht="25" customHeight="1" x14ac:dyDescent="0.3">
      <c r="A7" s="145"/>
      <c r="B7" s="141"/>
      <c r="C7" s="141"/>
      <c r="D7" s="141"/>
      <c r="E7" s="141"/>
      <c r="F7" s="142"/>
    </row>
    <row r="8" spans="1:13" ht="25" customHeight="1" thickBot="1" x14ac:dyDescent="0.35">
      <c r="A8" s="145"/>
      <c r="B8" s="146" t="s">
        <v>53</v>
      </c>
      <c r="C8" s="170"/>
      <c r="D8" s="170"/>
      <c r="E8" s="141"/>
      <c r="F8" s="142"/>
    </row>
    <row r="9" spans="1:13" ht="25" customHeight="1" thickTop="1" thickBot="1" x14ac:dyDescent="0.35">
      <c r="A9" s="145"/>
      <c r="B9" s="146" t="s">
        <v>54</v>
      </c>
      <c r="C9" s="171"/>
      <c r="D9" s="171"/>
      <c r="E9" s="141"/>
      <c r="F9" s="142"/>
    </row>
    <row r="10" spans="1:13" ht="25" customHeight="1" thickTop="1" thickBot="1" x14ac:dyDescent="0.35">
      <c r="A10" s="145"/>
      <c r="B10" s="146" t="s">
        <v>55</v>
      </c>
      <c r="C10" s="171"/>
      <c r="D10" s="171"/>
      <c r="E10" s="141"/>
      <c r="F10" s="142"/>
    </row>
    <row r="11" spans="1:13" ht="25" customHeight="1" thickTop="1" x14ac:dyDescent="0.3">
      <c r="A11" s="145"/>
      <c r="B11" s="141"/>
      <c r="C11" s="141"/>
      <c r="D11" s="141"/>
      <c r="E11" s="141"/>
      <c r="F11" s="142"/>
    </row>
    <row r="12" spans="1:13" ht="25" customHeight="1" thickBot="1" x14ac:dyDescent="0.35">
      <c r="A12" s="145"/>
      <c r="B12" s="141"/>
      <c r="C12" s="141"/>
      <c r="D12" s="141"/>
      <c r="E12" s="141"/>
      <c r="F12" s="142"/>
    </row>
    <row r="13" spans="1:13" ht="25" customHeight="1" thickTop="1" thickBot="1" x14ac:dyDescent="0.35">
      <c r="A13" s="145"/>
      <c r="B13" s="134" t="s">
        <v>59</v>
      </c>
      <c r="C13" s="134" t="s">
        <v>60</v>
      </c>
      <c r="D13" s="134" t="s">
        <v>56</v>
      </c>
      <c r="E13" s="134" t="s">
        <v>51</v>
      </c>
      <c r="F13" s="142"/>
    </row>
    <row r="14" spans="1:13" ht="25" customHeight="1" thickTop="1" x14ac:dyDescent="0.3">
      <c r="A14" s="145"/>
      <c r="B14" s="125"/>
      <c r="C14" s="126"/>
      <c r="D14" s="126"/>
      <c r="E14" s="127"/>
      <c r="F14" s="142"/>
    </row>
    <row r="15" spans="1:13" ht="25" customHeight="1" x14ac:dyDescent="0.3">
      <c r="A15" s="145"/>
      <c r="B15" s="128"/>
      <c r="C15" s="129"/>
      <c r="D15" s="129"/>
      <c r="E15" s="130"/>
      <c r="F15" s="142"/>
    </row>
    <row r="16" spans="1:13" ht="25" customHeight="1" x14ac:dyDescent="0.3">
      <c r="A16" s="145"/>
      <c r="B16" s="128"/>
      <c r="C16" s="129"/>
      <c r="D16" s="129"/>
      <c r="E16" s="130"/>
      <c r="F16" s="142"/>
    </row>
    <row r="17" spans="1:6" ht="25" customHeight="1" x14ac:dyDescent="0.3">
      <c r="A17" s="145"/>
      <c r="B17" s="128"/>
      <c r="C17" s="129"/>
      <c r="D17" s="129"/>
      <c r="E17" s="130"/>
      <c r="F17" s="142"/>
    </row>
    <row r="18" spans="1:6" ht="25" customHeight="1" x14ac:dyDescent="0.3">
      <c r="A18" s="145"/>
      <c r="B18" s="128"/>
      <c r="C18" s="129"/>
      <c r="D18" s="129"/>
      <c r="E18" s="130"/>
      <c r="F18" s="142"/>
    </row>
    <row r="19" spans="1:6" ht="25" customHeight="1" x14ac:dyDescent="0.3">
      <c r="A19" s="145"/>
      <c r="B19" s="128"/>
      <c r="C19" s="129"/>
      <c r="D19" s="129"/>
      <c r="E19" s="130"/>
      <c r="F19" s="142"/>
    </row>
    <row r="20" spans="1:6" ht="25" customHeight="1" x14ac:dyDescent="0.3">
      <c r="A20" s="145"/>
      <c r="B20" s="128"/>
      <c r="C20" s="129"/>
      <c r="D20" s="129"/>
      <c r="E20" s="130"/>
      <c r="F20" s="142"/>
    </row>
    <row r="21" spans="1:6" ht="25" customHeight="1" x14ac:dyDescent="0.3">
      <c r="A21" s="145"/>
      <c r="B21" s="131"/>
      <c r="C21" s="132"/>
      <c r="D21" s="132"/>
      <c r="E21" s="133"/>
      <c r="F21" s="142"/>
    </row>
    <row r="22" spans="1:6" ht="25" customHeight="1" x14ac:dyDescent="0.3">
      <c r="A22" s="145"/>
      <c r="B22" s="141"/>
      <c r="C22" s="141"/>
      <c r="D22" s="141"/>
      <c r="E22" s="141"/>
      <c r="F22" s="142"/>
    </row>
    <row r="23" spans="1:6" ht="25" customHeight="1" x14ac:dyDescent="0.3">
      <c r="A23" s="145"/>
      <c r="B23" s="141"/>
      <c r="C23" s="141"/>
      <c r="D23" s="141"/>
      <c r="E23" s="141"/>
      <c r="F23" s="142"/>
    </row>
    <row r="24" spans="1:6" ht="25" customHeight="1" x14ac:dyDescent="0.3">
      <c r="A24" s="145"/>
      <c r="B24" s="141"/>
      <c r="C24" s="141"/>
      <c r="D24" s="141"/>
      <c r="E24" s="141"/>
      <c r="F24" s="142"/>
    </row>
    <row r="25" spans="1:6" ht="25" customHeight="1" x14ac:dyDescent="0.3">
      <c r="A25" s="145"/>
      <c r="B25" s="167" t="s">
        <v>57</v>
      </c>
      <c r="C25" s="167"/>
      <c r="D25" s="167"/>
      <c r="E25" s="167"/>
      <c r="F25" s="142"/>
    </row>
    <row r="26" spans="1:6" ht="25" customHeight="1" x14ac:dyDescent="0.3">
      <c r="A26" s="145"/>
      <c r="B26" s="168"/>
      <c r="C26" s="168"/>
      <c r="D26" s="168"/>
      <c r="E26" s="168"/>
      <c r="F26" s="142"/>
    </row>
    <row r="27" spans="1:6" ht="25" customHeight="1" x14ac:dyDescent="0.3">
      <c r="A27" s="145"/>
      <c r="B27" s="168"/>
      <c r="C27" s="168"/>
      <c r="D27" s="168"/>
      <c r="E27" s="168"/>
      <c r="F27" s="142"/>
    </row>
    <row r="28" spans="1:6" ht="25" customHeight="1" thickBot="1" x14ac:dyDescent="0.35">
      <c r="A28" s="147"/>
      <c r="B28" s="148"/>
      <c r="C28" s="148"/>
      <c r="D28" s="148"/>
      <c r="E28" s="148"/>
      <c r="F28" s="143"/>
    </row>
    <row r="29" spans="1:6" ht="25" customHeight="1" thickTop="1" x14ac:dyDescent="0.3"/>
    <row r="30" spans="1:6" ht="25" customHeight="1" x14ac:dyDescent="0.3"/>
    <row r="31" spans="1:6" ht="25" customHeight="1" x14ac:dyDescent="0.3"/>
    <row r="32" spans="1:6" ht="25" customHeight="1" x14ac:dyDescent="0.3"/>
    <row r="33" s="139" customFormat="1" ht="25" customHeight="1" x14ac:dyDescent="0.3"/>
    <row r="34" s="139" customFormat="1" ht="25" customHeight="1" x14ac:dyDescent="0.3"/>
    <row r="35" s="139" customFormat="1" ht="25" customHeight="1" x14ac:dyDescent="0.3"/>
    <row r="36" s="139" customFormat="1" ht="25" customHeight="1" x14ac:dyDescent="0.3"/>
    <row r="37" s="139" customFormat="1" ht="25" customHeight="1" x14ac:dyDescent="0.3"/>
    <row r="38" s="139" customFormat="1" ht="20" customHeight="1" x14ac:dyDescent="0.3"/>
    <row r="39" s="139" customFormat="1" ht="20" customHeight="1" x14ac:dyDescent="0.3"/>
    <row r="40" s="139" customFormat="1" ht="20" customHeight="1" x14ac:dyDescent="0.3"/>
    <row r="41" s="139" customFormat="1" ht="20" customHeight="1" x14ac:dyDescent="0.3"/>
    <row r="42" s="139" customFormat="1" ht="20" customHeight="1" x14ac:dyDescent="0.3"/>
    <row r="43" s="139" customFormat="1" ht="20" customHeight="1" x14ac:dyDescent="0.3"/>
    <row r="44" s="139" customFormat="1" ht="20" customHeight="1" x14ac:dyDescent="0.3"/>
    <row r="45" s="139" customFormat="1" ht="20" customHeight="1" x14ac:dyDescent="0.3"/>
    <row r="46" s="139" customFormat="1" ht="20" customHeight="1" x14ac:dyDescent="0.3"/>
    <row r="47" s="139" customFormat="1" ht="20" customHeight="1" x14ac:dyDescent="0.3"/>
    <row r="48" s="139" customFormat="1" ht="20" customHeight="1" x14ac:dyDescent="0.3"/>
    <row r="49" s="139" customFormat="1" ht="20" customHeight="1" x14ac:dyDescent="0.3"/>
    <row r="50" s="139" customFormat="1" ht="20" customHeight="1" x14ac:dyDescent="0.3"/>
    <row r="51" s="139" customFormat="1" ht="20" customHeight="1" x14ac:dyDescent="0.3"/>
    <row r="52" s="139" customFormat="1" ht="20" customHeight="1" x14ac:dyDescent="0.3"/>
    <row r="53" s="139" customFormat="1" ht="20" customHeight="1" x14ac:dyDescent="0.3"/>
  </sheetData>
  <sheetProtection algorithmName="SHA-512" hashValue="4cqqI325DVgjzskR/7va/HFWZ2HMI/FacpYAavYcz5pZDBUxkKF8a5iaK93feeKaLHh2faBn8fDnyGx8MfRmMQ==" saltValue="keCNhml3waXac0/4F5sRpA==" spinCount="100000" sheet="1" selectLockedCells="1"/>
  <mergeCells count="6">
    <mergeCell ref="A1:B4"/>
    <mergeCell ref="B25:E27"/>
    <mergeCell ref="C4:D4"/>
    <mergeCell ref="C8:D8"/>
    <mergeCell ref="C9:D9"/>
    <mergeCell ref="C10:D10"/>
  </mergeCells>
  <pageMargins left="0.7" right="0.7" top="0.75" bottom="0.75" header="0.3" footer="0.3"/>
  <pageSetup paperSize="9" orientation="portrait" r:id="rId1"/>
  <headerFooter>
    <oddHeader xml:space="preserve">&amp;C
&amp;G 
</oddHeader>
  </headerFooter>
  <drawing r:id="rId2"/>
  <legacyDrawingHF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B72D8-F265-42EE-9EDD-DE6297310264}">
  <sheetPr codeName="ورقة7"/>
  <dimension ref="B9:D26"/>
  <sheetViews>
    <sheetView showGridLines="0" showRowColHeaders="0" rightToLeft="1" topLeftCell="A6" workbookViewId="0">
      <selection activeCell="B25" sqref="B25"/>
    </sheetView>
  </sheetViews>
  <sheetFormatPr defaultRowHeight="14" x14ac:dyDescent="0.3"/>
  <cols>
    <col min="1" max="1" width="8.6640625" style="103"/>
    <col min="2" max="2" width="18.75" style="103" customWidth="1"/>
    <col min="3" max="3" width="19.1640625" style="103" customWidth="1"/>
    <col min="4" max="4" width="11.1640625" style="103" customWidth="1"/>
    <col min="5" max="16384" width="8.6640625" style="103"/>
  </cols>
  <sheetData>
    <row r="9" spans="2:4" ht="14.5" thickBot="1" x14ac:dyDescent="0.35"/>
    <row r="10" spans="2:4" ht="20" customHeight="1" thickBot="1" x14ac:dyDescent="0.35">
      <c r="B10" s="52"/>
      <c r="C10" s="172"/>
      <c r="D10" s="172"/>
    </row>
    <row r="14" spans="2:4" ht="14.5" thickBot="1" x14ac:dyDescent="0.35"/>
    <row r="15" spans="2:4" ht="20" customHeight="1" thickBot="1" x14ac:dyDescent="0.4">
      <c r="B15" s="51"/>
      <c r="C15" s="173" t="s">
        <v>63</v>
      </c>
      <c r="D15" s="173"/>
    </row>
    <row r="24" spans="2:2" ht="11.5" customHeight="1" x14ac:dyDescent="0.3"/>
    <row r="25" spans="2:2" ht="25" customHeight="1" x14ac:dyDescent="0.3">
      <c r="B25" s="149">
        <v>46208</v>
      </c>
    </row>
    <row r="26" spans="2:2" ht="25" customHeight="1" x14ac:dyDescent="0.3">
      <c r="B26" s="149"/>
    </row>
  </sheetData>
  <sheetProtection algorithmName="SHA-512" hashValue="16QImiAeLphz2UK6/9aWvS81u/nMiMHRGN1oxTujKQUwTgipNyumhAN0KhhjRuDQz095l8Q7ZFCzshg2Tf/WIA==" saltValue="78Yv58UZlV8xxVwiBEmPmw==" spinCount="100000" sheet="1" objects="1" scenarios="1"/>
  <mergeCells count="2">
    <mergeCell ref="C10:D10"/>
    <mergeCell ref="C15:D15"/>
  </mergeCells>
  <pageMargins left="0.7" right="0.7" top="0.75" bottom="0.75" header="0.3" footer="0.3"/>
  <pageSetup paperSize="9" orientation="portrait" r:id="rId1"/>
  <drawing r:id="rId2"/>
  <picture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36D6E5-8819-430B-A2BD-36747D5300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7</vt:i4>
      </vt:variant>
    </vt:vector>
  </HeadingPairs>
  <TitlesOfParts>
    <vt:vector size="7" baseType="lpstr">
      <vt:lpstr>الرئيسية</vt:lpstr>
      <vt:lpstr>المعتمرون</vt:lpstr>
      <vt:lpstr>التاشيرات الاخرى</vt:lpstr>
      <vt:lpstr>مؤشرات الأداء</vt:lpstr>
      <vt:lpstr>الأرشيف</vt:lpstr>
      <vt:lpstr>اشعار المكتب</vt:lpstr>
      <vt:lpstr>Activation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T-com</dc:creator>
  <cp:lastModifiedBy>T-com</cp:lastModifiedBy>
  <cp:lastPrinted>2026-07-03T20:13:02Z</cp:lastPrinted>
  <dcterms:created xsi:type="dcterms:W3CDTF">2026-06-21T00:02:39Z</dcterms:created>
  <dcterms:modified xsi:type="dcterms:W3CDTF">2026-07-05T09:41:16Z</dcterms:modified>
</cp:coreProperties>
</file>